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aham\Desktop\"/>
    </mc:Choice>
  </mc:AlternateContent>
  <xr:revisionPtr revIDLastSave="0" documentId="13_ncr:1_{2CC88B07-F16F-426D-AFC7-450705923A02}" xr6:coauthVersionLast="47" xr6:coauthVersionMax="47" xr10:uidLastSave="{00000000-0000-0000-0000-000000000000}"/>
  <bookViews>
    <workbookView xWindow="0" yWindow="360" windowWidth="23256" windowHeight="12456" xr2:uid="{2F8869DB-DCBC-4A70-B426-BEE285F399CC}"/>
  </bookViews>
  <sheets>
    <sheet name="Calculations" sheetId="1" r:id="rId1"/>
  </sheets>
  <definedNames>
    <definedName name="solver_adj" localSheetId="0" hidden="1">Calculations!$C$167:$E$167</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Calculations!$C$167</definedName>
    <definedName name="solver_lhs2" localSheetId="0" hidden="1">Calculations!$D$167</definedName>
    <definedName name="solver_lhs3" localSheetId="0" hidden="1">Calculations!$E$167</definedName>
    <definedName name="solver_lhs4" localSheetId="0" hidden="1">Calculations!$F$167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Calculations!$C$176</definedName>
    <definedName name="solver_pre" localSheetId="0" hidden="1">0.000001</definedName>
    <definedName name="solver_rbv" localSheetId="0" hidden="1">1</definedName>
    <definedName name="solver_rel1" localSheetId="0" hidden="1">3</definedName>
    <definedName name="solver_rel2" localSheetId="0" hidden="1">3</definedName>
    <definedName name="solver_rel3" localSheetId="0" hidden="1">3</definedName>
    <definedName name="solver_rel4" localSheetId="0" hidden="1">3</definedName>
    <definedName name="solver_rhs1" localSheetId="0" hidden="1">-0.3</definedName>
    <definedName name="solver_rhs2" localSheetId="0" hidden="1">-0.3</definedName>
    <definedName name="solver_rhs3" localSheetId="0" hidden="1">-0.3</definedName>
    <definedName name="solver_rhs4" localSheetId="0" hidden="1">-0.3</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2" i="1" l="1"/>
  <c r="H385" i="1"/>
  <c r="H464" i="1" a="1"/>
  <c r="H464" i="1" s="1"/>
  <c r="I464" i="1" a="1"/>
  <c r="I464" i="1" s="1"/>
  <c r="J464" i="1" a="1"/>
  <c r="J464" i="1" s="1"/>
  <c r="K464" i="1" a="1"/>
  <c r="K464" i="1"/>
  <c r="L464" i="1" a="1"/>
  <c r="L464" i="1" s="1"/>
  <c r="M464" i="1" a="1"/>
  <c r="M464" i="1" s="1"/>
  <c r="N464" i="1" a="1"/>
  <c r="N464" i="1" s="1"/>
  <c r="O464" i="1" a="1"/>
  <c r="O464" i="1"/>
  <c r="P464" i="1" a="1"/>
  <c r="P464" i="1" s="1"/>
  <c r="Q464" i="1" a="1"/>
  <c r="Q464" i="1" s="1"/>
  <c r="R464" i="1" a="1"/>
  <c r="R464" i="1" s="1"/>
  <c r="S464" i="1" a="1"/>
  <c r="S464" i="1"/>
  <c r="T464" i="1" a="1"/>
  <c r="T464" i="1" s="1"/>
  <c r="U464" i="1" a="1"/>
  <c r="U464" i="1" s="1"/>
  <c r="V464" i="1" a="1"/>
  <c r="V464" i="1" s="1"/>
  <c r="W464" i="1" a="1"/>
  <c r="W464" i="1"/>
  <c r="X464" i="1" a="1"/>
  <c r="X464" i="1" s="1"/>
  <c r="Y464" i="1" a="1"/>
  <c r="Y464" i="1" s="1"/>
  <c r="Z464" i="1" a="1"/>
  <c r="Z464" i="1" s="1"/>
  <c r="AA464" i="1" a="1"/>
  <c r="AA464" i="1"/>
  <c r="AB464" i="1" a="1"/>
  <c r="AB464" i="1" s="1"/>
  <c r="AC464" i="1" a="1"/>
  <c r="AC464" i="1" s="1"/>
  <c r="AD464" i="1" a="1"/>
  <c r="AD464" i="1" s="1"/>
  <c r="AE464" i="1" a="1"/>
  <c r="AE464" i="1"/>
  <c r="AF464" i="1" a="1"/>
  <c r="AF464" i="1" s="1"/>
  <c r="AG464" i="1" a="1"/>
  <c r="AG464" i="1" s="1"/>
  <c r="AH464" i="1" a="1"/>
  <c r="AH464" i="1" s="1"/>
  <c r="AI464" i="1" a="1"/>
  <c r="AI464" i="1"/>
  <c r="AJ464" i="1" a="1"/>
  <c r="AJ464" i="1" s="1"/>
  <c r="AK464" i="1" a="1"/>
  <c r="AK464" i="1" s="1"/>
  <c r="AL464" i="1" a="1"/>
  <c r="AL464" i="1" s="1"/>
  <c r="AM464" i="1" a="1"/>
  <c r="AM464" i="1"/>
  <c r="AN464" i="1" a="1"/>
  <c r="AN464" i="1" s="1"/>
  <c r="AO464" i="1" a="1"/>
  <c r="AO464" i="1" s="1"/>
  <c r="AP464" i="1" a="1"/>
  <c r="AP464" i="1" s="1"/>
  <c r="AQ464" i="1" a="1"/>
  <c r="AQ464" i="1"/>
  <c r="AR464" i="1" a="1"/>
  <c r="AR464" i="1" s="1"/>
  <c r="AS464" i="1" a="1"/>
  <c r="AS464" i="1" s="1"/>
  <c r="AT464" i="1" a="1"/>
  <c r="AT464" i="1" s="1"/>
  <c r="AU464" i="1" a="1"/>
  <c r="AU464" i="1"/>
  <c r="AV464" i="1" a="1"/>
  <c r="AV464" i="1" s="1"/>
  <c r="AW464" i="1" a="1"/>
  <c r="AW464" i="1" s="1"/>
  <c r="AX464" i="1" a="1"/>
  <c r="AX464" i="1" s="1"/>
  <c r="AY464" i="1" a="1"/>
  <c r="AY464" i="1"/>
  <c r="AZ464" i="1" a="1"/>
  <c r="AZ464" i="1" s="1"/>
  <c r="BA464" i="1" a="1"/>
  <c r="BA464" i="1" s="1"/>
  <c r="BB464" i="1" a="1"/>
  <c r="BB464" i="1" s="1"/>
  <c r="BC464" i="1" a="1"/>
  <c r="BC464" i="1"/>
  <c r="BD464" i="1" a="1"/>
  <c r="BD464" i="1" s="1"/>
  <c r="BE464" i="1" a="1"/>
  <c r="BE464" i="1" s="1"/>
  <c r="H465" i="1" a="1"/>
  <c r="H465" i="1" s="1"/>
  <c r="I465" i="1" a="1"/>
  <c r="I465" i="1"/>
  <c r="J465" i="1" a="1"/>
  <c r="J465" i="1" s="1"/>
  <c r="K465" i="1" a="1"/>
  <c r="K465" i="1" s="1"/>
  <c r="L465" i="1" a="1"/>
  <c r="L465" i="1" s="1"/>
  <c r="M465" i="1" a="1"/>
  <c r="M465" i="1" s="1"/>
  <c r="N465" i="1" a="1"/>
  <c r="N465" i="1" s="1"/>
  <c r="O465" i="1" a="1"/>
  <c r="O465" i="1" s="1"/>
  <c r="P465" i="1" a="1"/>
  <c r="P465" i="1" s="1"/>
  <c r="Q465" i="1" a="1"/>
  <c r="Q465" i="1" s="1"/>
  <c r="R465" i="1" a="1"/>
  <c r="R465" i="1" s="1"/>
  <c r="S465" i="1" a="1"/>
  <c r="S465" i="1" s="1"/>
  <c r="T465" i="1" a="1"/>
  <c r="T465" i="1" s="1"/>
  <c r="U465" i="1" a="1"/>
  <c r="U465" i="1"/>
  <c r="V465" i="1" a="1"/>
  <c r="V465" i="1" s="1"/>
  <c r="W465" i="1" a="1"/>
  <c r="W465" i="1" s="1"/>
  <c r="X465" i="1" a="1"/>
  <c r="X465" i="1" s="1"/>
  <c r="Y465" i="1" a="1"/>
  <c r="Y465" i="1" s="1"/>
  <c r="Z465" i="1" a="1"/>
  <c r="Z465" i="1" s="1"/>
  <c r="AA465" i="1" a="1"/>
  <c r="AA465" i="1" s="1"/>
  <c r="AB465" i="1" a="1"/>
  <c r="AB465" i="1" s="1"/>
  <c r="AC465" i="1" a="1"/>
  <c r="AC465" i="1" s="1"/>
  <c r="AD465" i="1" a="1"/>
  <c r="AD465" i="1" s="1"/>
  <c r="AE465" i="1" a="1"/>
  <c r="AE465" i="1" s="1"/>
  <c r="AF465" i="1" a="1"/>
  <c r="AF465" i="1" s="1"/>
  <c r="AG465" i="1" a="1"/>
  <c r="AG465" i="1"/>
  <c r="AH465" i="1" a="1"/>
  <c r="AH465" i="1" s="1"/>
  <c r="AI465" i="1" a="1"/>
  <c r="AI465" i="1" s="1"/>
  <c r="AJ465" i="1" a="1"/>
  <c r="AJ465" i="1" s="1"/>
  <c r="AK465" i="1" a="1"/>
  <c r="AK465" i="1"/>
  <c r="AL465" i="1" a="1"/>
  <c r="AL465" i="1" s="1"/>
  <c r="AM465" i="1" a="1"/>
  <c r="AM465" i="1" s="1"/>
  <c r="AN465" i="1" a="1"/>
  <c r="AN465" i="1" s="1"/>
  <c r="AO465" i="1" a="1"/>
  <c r="AO465" i="1" s="1"/>
  <c r="AP465" i="1" a="1"/>
  <c r="AP465" i="1" s="1"/>
  <c r="AQ465" i="1" a="1"/>
  <c r="AQ465" i="1" s="1"/>
  <c r="AR465" i="1" a="1"/>
  <c r="AR465" i="1" s="1"/>
  <c r="AS465" i="1" a="1"/>
  <c r="AS465" i="1" s="1"/>
  <c r="AT465" i="1" a="1"/>
  <c r="AT465" i="1" s="1"/>
  <c r="AU465" i="1" a="1"/>
  <c r="AU465" i="1" s="1"/>
  <c r="AV465" i="1" a="1"/>
  <c r="AV465" i="1" s="1"/>
  <c r="AW465" i="1" a="1"/>
  <c r="AW465" i="1" s="1"/>
  <c r="AX465" i="1" a="1"/>
  <c r="AX465" i="1" s="1"/>
  <c r="AY465" i="1" a="1"/>
  <c r="AY465" i="1" s="1"/>
  <c r="AZ465" i="1" a="1"/>
  <c r="AZ465" i="1" s="1"/>
  <c r="BA465" i="1" a="1"/>
  <c r="BA465" i="1"/>
  <c r="BB465" i="1" a="1"/>
  <c r="BB465" i="1" s="1"/>
  <c r="BC465" i="1" a="1"/>
  <c r="BC465" i="1" s="1"/>
  <c r="BD465" i="1" a="1"/>
  <c r="BD465" i="1" s="1"/>
  <c r="BE465" i="1" a="1"/>
  <c r="BE465" i="1" s="1"/>
  <c r="H466" i="1" a="1"/>
  <c r="H466" i="1" s="1"/>
  <c r="I466" i="1" a="1"/>
  <c r="I466" i="1" s="1"/>
  <c r="J466" i="1" a="1"/>
  <c r="J466" i="1" s="1"/>
  <c r="K466" i="1" a="1"/>
  <c r="K466" i="1" s="1"/>
  <c r="L466" i="1" a="1"/>
  <c r="L466" i="1" s="1"/>
  <c r="M466" i="1" a="1"/>
  <c r="M466" i="1" s="1"/>
  <c r="N466" i="1" a="1"/>
  <c r="N466" i="1" s="1"/>
  <c r="O466" i="1" a="1"/>
  <c r="O466" i="1"/>
  <c r="P466" i="1" a="1"/>
  <c r="P466" i="1" s="1"/>
  <c r="Q466" i="1" a="1"/>
  <c r="Q466" i="1" s="1"/>
  <c r="R466" i="1" a="1"/>
  <c r="R466" i="1" s="1"/>
  <c r="S466" i="1" a="1"/>
  <c r="S466" i="1"/>
  <c r="T466" i="1" a="1"/>
  <c r="T466" i="1" s="1"/>
  <c r="U466" i="1" a="1"/>
  <c r="U466" i="1" s="1"/>
  <c r="V466" i="1" a="1"/>
  <c r="V466" i="1" s="1"/>
  <c r="W466" i="1" a="1"/>
  <c r="W466" i="1" s="1"/>
  <c r="X466" i="1" a="1"/>
  <c r="X466" i="1" s="1"/>
  <c r="Y466" i="1" a="1"/>
  <c r="Y466" i="1" s="1"/>
  <c r="Z466" i="1" a="1"/>
  <c r="Z466" i="1" s="1"/>
  <c r="AA466" i="1" a="1"/>
  <c r="AA466" i="1" s="1"/>
  <c r="AB466" i="1" a="1"/>
  <c r="AB466" i="1" s="1"/>
  <c r="AC466" i="1" a="1"/>
  <c r="AC466" i="1" s="1"/>
  <c r="AD466" i="1" a="1"/>
  <c r="AD466" i="1" s="1"/>
  <c r="AE466" i="1" a="1"/>
  <c r="AE466" i="1" s="1"/>
  <c r="AF466" i="1" a="1"/>
  <c r="AF466" i="1" s="1"/>
  <c r="AG466" i="1" a="1"/>
  <c r="AG466" i="1" s="1"/>
  <c r="AH466" i="1" a="1"/>
  <c r="AH466" i="1" s="1"/>
  <c r="AI466" i="1" a="1"/>
  <c r="AI466" i="1"/>
  <c r="AJ466" i="1" a="1"/>
  <c r="AJ466" i="1" s="1"/>
  <c r="AK466" i="1" a="1"/>
  <c r="AK466" i="1" s="1"/>
  <c r="AL466" i="1" a="1"/>
  <c r="AL466" i="1" s="1"/>
  <c r="AM466" i="1" a="1"/>
  <c r="AM466" i="1" s="1"/>
  <c r="AN466" i="1" a="1"/>
  <c r="AN466" i="1" s="1"/>
  <c r="AO466" i="1" a="1"/>
  <c r="AO466" i="1" s="1"/>
  <c r="AP466" i="1" a="1"/>
  <c r="AP466" i="1" s="1"/>
  <c r="AQ466" i="1" a="1"/>
  <c r="AQ466" i="1" s="1"/>
  <c r="AR466" i="1" a="1"/>
  <c r="AR466" i="1" s="1"/>
  <c r="AS466" i="1" a="1"/>
  <c r="AS466" i="1" s="1"/>
  <c r="AT466" i="1" a="1"/>
  <c r="AT466" i="1" s="1"/>
  <c r="AU466" i="1" a="1"/>
  <c r="AU466" i="1"/>
  <c r="AV466" i="1" a="1"/>
  <c r="AV466" i="1" s="1"/>
  <c r="AW466" i="1" a="1"/>
  <c r="AW466" i="1" s="1"/>
  <c r="AX466" i="1" a="1"/>
  <c r="AX466" i="1" s="1"/>
  <c r="AY466" i="1" a="1"/>
  <c r="AY466" i="1"/>
  <c r="AZ466" i="1" a="1"/>
  <c r="AZ466" i="1" s="1"/>
  <c r="BA466" i="1" a="1"/>
  <c r="BA466" i="1" s="1"/>
  <c r="BB466" i="1" a="1"/>
  <c r="BB466" i="1" s="1"/>
  <c r="BC466" i="1" a="1"/>
  <c r="BC466" i="1" s="1"/>
  <c r="BD466" i="1" a="1"/>
  <c r="BD466" i="1" s="1"/>
  <c r="BE466" i="1" a="1"/>
  <c r="BE466" i="1" s="1"/>
  <c r="H467" i="1" a="1"/>
  <c r="H467" i="1" s="1"/>
  <c r="I467" i="1" a="1"/>
  <c r="I467" i="1" s="1"/>
  <c r="J467" i="1" a="1"/>
  <c r="J467" i="1" s="1"/>
  <c r="K467" i="1" a="1"/>
  <c r="K467" i="1" s="1"/>
  <c r="L467" i="1" a="1"/>
  <c r="L467" i="1" s="1"/>
  <c r="M467" i="1" a="1"/>
  <c r="M467" i="1" s="1"/>
  <c r="N467" i="1" a="1"/>
  <c r="N467" i="1" s="1"/>
  <c r="O467" i="1" a="1"/>
  <c r="O467" i="1" s="1"/>
  <c r="P467" i="1" a="1"/>
  <c r="P467" i="1" s="1"/>
  <c r="Q467" i="1" a="1"/>
  <c r="Q467" i="1"/>
  <c r="R467" i="1" a="1"/>
  <c r="R467" i="1" s="1"/>
  <c r="S467" i="1" a="1"/>
  <c r="S467" i="1" s="1"/>
  <c r="T467" i="1" a="1"/>
  <c r="T467" i="1" s="1"/>
  <c r="U467" i="1" a="1"/>
  <c r="U467" i="1" s="1"/>
  <c r="V467" i="1" a="1"/>
  <c r="V467" i="1" s="1"/>
  <c r="W467" i="1" a="1"/>
  <c r="W467" i="1" s="1"/>
  <c r="X467" i="1" a="1"/>
  <c r="X467" i="1" s="1"/>
  <c r="Y467" i="1" a="1"/>
  <c r="Y467" i="1" s="1"/>
  <c r="Z467" i="1" a="1"/>
  <c r="Z467" i="1" s="1"/>
  <c r="AA467" i="1" a="1"/>
  <c r="AA467" i="1" s="1"/>
  <c r="AB467" i="1" a="1"/>
  <c r="AB467" i="1" s="1"/>
  <c r="AC467" i="1" a="1"/>
  <c r="AC467" i="1"/>
  <c r="AD467" i="1" a="1"/>
  <c r="AD467" i="1" s="1"/>
  <c r="AE467" i="1" a="1"/>
  <c r="AE467" i="1" s="1"/>
  <c r="AF467" i="1" a="1"/>
  <c r="AF467" i="1" s="1"/>
  <c r="AG467" i="1" a="1"/>
  <c r="AG467" i="1"/>
  <c r="AH467" i="1" a="1"/>
  <c r="AH467" i="1" s="1"/>
  <c r="AI467" i="1" a="1"/>
  <c r="AI467" i="1" s="1"/>
  <c r="AJ467" i="1" a="1"/>
  <c r="AJ467" i="1" s="1"/>
  <c r="AK467" i="1" a="1"/>
  <c r="AK467" i="1" s="1"/>
  <c r="AL467" i="1" a="1"/>
  <c r="AL467" i="1" s="1"/>
  <c r="AM467" i="1" a="1"/>
  <c r="AM467" i="1" s="1"/>
  <c r="AN467" i="1" a="1"/>
  <c r="AN467" i="1" s="1"/>
  <c r="AO467" i="1" a="1"/>
  <c r="AO467" i="1" s="1"/>
  <c r="AP467" i="1" a="1"/>
  <c r="AP467" i="1" s="1"/>
  <c r="AQ467" i="1" a="1"/>
  <c r="AQ467" i="1" s="1"/>
  <c r="AR467" i="1" a="1"/>
  <c r="AR467" i="1" s="1"/>
  <c r="AS467" i="1" a="1"/>
  <c r="AS467" i="1" s="1"/>
  <c r="AT467" i="1" a="1"/>
  <c r="AT467" i="1" s="1"/>
  <c r="AU467" i="1" a="1"/>
  <c r="AU467" i="1" s="1"/>
  <c r="AV467" i="1" a="1"/>
  <c r="AV467" i="1" s="1"/>
  <c r="AW467" i="1" a="1"/>
  <c r="AW467" i="1"/>
  <c r="AX467" i="1" a="1"/>
  <c r="AX467" i="1" s="1"/>
  <c r="AY467" i="1" a="1"/>
  <c r="AY467" i="1" s="1"/>
  <c r="AZ467" i="1" a="1"/>
  <c r="AZ467" i="1" s="1"/>
  <c r="BA467" i="1" a="1"/>
  <c r="BA467" i="1" s="1"/>
  <c r="BB467" i="1" a="1"/>
  <c r="BB467" i="1" s="1"/>
  <c r="BC467" i="1" a="1"/>
  <c r="BC467" i="1" s="1"/>
  <c r="BD467" i="1" a="1"/>
  <c r="BD467" i="1" s="1"/>
  <c r="BE467" i="1" a="1"/>
  <c r="BE467" i="1" s="1"/>
  <c r="H468" i="1" a="1"/>
  <c r="H468" i="1" s="1"/>
  <c r="I468" i="1" a="1"/>
  <c r="I468" i="1" s="1"/>
  <c r="J468" i="1" a="1"/>
  <c r="J468" i="1" s="1"/>
  <c r="K468" i="1" a="1"/>
  <c r="K468" i="1" s="1"/>
  <c r="L468" i="1" a="1"/>
  <c r="L468" i="1" s="1"/>
  <c r="M468" i="1" a="1"/>
  <c r="M468" i="1" s="1"/>
  <c r="N468" i="1" a="1"/>
  <c r="N468" i="1" s="1"/>
  <c r="O468" i="1" a="1"/>
  <c r="O468" i="1"/>
  <c r="P468" i="1" a="1"/>
  <c r="P468" i="1" s="1"/>
  <c r="Q468" i="1" a="1"/>
  <c r="Q468" i="1" s="1"/>
  <c r="R468" i="1" a="1"/>
  <c r="R468" i="1" s="1"/>
  <c r="S468" i="1" a="1"/>
  <c r="S468" i="1" s="1"/>
  <c r="T468" i="1" a="1"/>
  <c r="T468" i="1" s="1"/>
  <c r="U468" i="1" a="1"/>
  <c r="U468" i="1" s="1"/>
  <c r="V468" i="1" a="1"/>
  <c r="V468" i="1" s="1"/>
  <c r="W468" i="1" a="1"/>
  <c r="W468" i="1" s="1"/>
  <c r="X468" i="1" a="1"/>
  <c r="X468" i="1" s="1"/>
  <c r="Y468" i="1" a="1"/>
  <c r="Y468" i="1" s="1"/>
  <c r="Z468" i="1" a="1"/>
  <c r="Z468" i="1" s="1"/>
  <c r="AA468" i="1" a="1"/>
  <c r="AA468" i="1" s="1"/>
  <c r="AB468" i="1" a="1"/>
  <c r="AB468" i="1" s="1"/>
  <c r="AC468" i="1" a="1"/>
  <c r="AC468" i="1" s="1"/>
  <c r="AD468" i="1" a="1"/>
  <c r="AD468" i="1" s="1"/>
  <c r="AE468" i="1" a="1"/>
  <c r="AE468" i="1"/>
  <c r="AF468" i="1" a="1"/>
  <c r="AF468" i="1" s="1"/>
  <c r="AG468" i="1" a="1"/>
  <c r="AG468" i="1" s="1"/>
  <c r="AH468" i="1" a="1"/>
  <c r="AH468" i="1" s="1"/>
  <c r="AI468" i="1" a="1"/>
  <c r="AI468" i="1" s="1"/>
  <c r="AJ468" i="1" a="1"/>
  <c r="AJ468" i="1" s="1"/>
  <c r="AK468" i="1" a="1"/>
  <c r="AK468" i="1" s="1"/>
  <c r="AL468" i="1" a="1"/>
  <c r="AL468" i="1" s="1"/>
  <c r="AM468" i="1" a="1"/>
  <c r="AM468" i="1" s="1"/>
  <c r="AN468" i="1" a="1"/>
  <c r="AN468" i="1" s="1"/>
  <c r="AO468" i="1" a="1"/>
  <c r="AO468" i="1" s="1"/>
  <c r="AP468" i="1" a="1"/>
  <c r="AP468" i="1" s="1"/>
  <c r="AQ468" i="1" a="1"/>
  <c r="AQ468" i="1" s="1"/>
  <c r="AR468" i="1" a="1"/>
  <c r="AR468" i="1" s="1"/>
  <c r="AS468" i="1" a="1"/>
  <c r="AS468" i="1" s="1"/>
  <c r="AT468" i="1" a="1"/>
  <c r="AT468" i="1" s="1"/>
  <c r="AU468" i="1" a="1"/>
  <c r="AU468" i="1"/>
  <c r="AV468" i="1" a="1"/>
  <c r="AV468" i="1" s="1"/>
  <c r="AW468" i="1" a="1"/>
  <c r="AW468" i="1" s="1"/>
  <c r="AX468" i="1" a="1"/>
  <c r="AX468" i="1" s="1"/>
  <c r="AY468" i="1" a="1"/>
  <c r="AY468" i="1" s="1"/>
  <c r="AZ468" i="1" a="1"/>
  <c r="AZ468" i="1" s="1"/>
  <c r="BA468" i="1" a="1"/>
  <c r="BA468" i="1" s="1"/>
  <c r="BB468" i="1" a="1"/>
  <c r="BB468" i="1" s="1"/>
  <c r="BC468" i="1" a="1"/>
  <c r="BC468" i="1" s="1"/>
  <c r="BD468" i="1" a="1"/>
  <c r="BD468" i="1" s="1"/>
  <c r="BE468" i="1" a="1"/>
  <c r="BE468" i="1" s="1"/>
  <c r="H469" i="1" a="1"/>
  <c r="H469" i="1" s="1"/>
  <c r="I469" i="1" a="1"/>
  <c r="I469" i="1" s="1"/>
  <c r="J469" i="1" a="1"/>
  <c r="J469" i="1" s="1"/>
  <c r="K469" i="1" a="1"/>
  <c r="K469" i="1" s="1"/>
  <c r="L469" i="1" a="1"/>
  <c r="L469" i="1" s="1"/>
  <c r="M469" i="1" a="1"/>
  <c r="M469" i="1"/>
  <c r="N469" i="1" a="1"/>
  <c r="N469" i="1" s="1"/>
  <c r="O469" i="1" a="1"/>
  <c r="O469" i="1" s="1"/>
  <c r="P469" i="1" a="1"/>
  <c r="P469" i="1" s="1"/>
  <c r="Q469" i="1" a="1"/>
  <c r="Q469" i="1" s="1"/>
  <c r="R469" i="1" a="1"/>
  <c r="R469" i="1" s="1"/>
  <c r="S469" i="1" a="1"/>
  <c r="S469" i="1" s="1"/>
  <c r="T469" i="1" a="1"/>
  <c r="T469" i="1" s="1"/>
  <c r="U469" i="1" a="1"/>
  <c r="U469" i="1" s="1"/>
  <c r="V469" i="1" a="1"/>
  <c r="V469" i="1" s="1"/>
  <c r="W469" i="1" a="1"/>
  <c r="W469" i="1" s="1"/>
  <c r="X469" i="1" a="1"/>
  <c r="X469" i="1" s="1"/>
  <c r="Y469" i="1" a="1"/>
  <c r="Y469" i="1" s="1"/>
  <c r="Z469" i="1" a="1"/>
  <c r="Z469" i="1" s="1"/>
  <c r="AA469" i="1" a="1"/>
  <c r="AA469" i="1" s="1"/>
  <c r="AB469" i="1" a="1"/>
  <c r="AB469" i="1" s="1"/>
  <c r="AC469" i="1" a="1"/>
  <c r="AC469" i="1"/>
  <c r="AD469" i="1" a="1"/>
  <c r="AD469" i="1" s="1"/>
  <c r="AE469" i="1" a="1"/>
  <c r="AE469" i="1" s="1"/>
  <c r="AF469" i="1" a="1"/>
  <c r="AF469" i="1" s="1"/>
  <c r="AG469" i="1" a="1"/>
  <c r="AG469" i="1" s="1"/>
  <c r="AH469" i="1" a="1"/>
  <c r="AH469" i="1" s="1"/>
  <c r="AI469" i="1" a="1"/>
  <c r="AI469" i="1" s="1"/>
  <c r="AJ469" i="1" a="1"/>
  <c r="AJ469" i="1" s="1"/>
  <c r="AK469" i="1" a="1"/>
  <c r="AK469" i="1" s="1"/>
  <c r="AL469" i="1" a="1"/>
  <c r="AL469" i="1" s="1"/>
  <c r="AM469" i="1" a="1"/>
  <c r="AM469" i="1" s="1"/>
  <c r="AN469" i="1" a="1"/>
  <c r="AN469" i="1" s="1"/>
  <c r="AO469" i="1" a="1"/>
  <c r="AO469" i="1" s="1"/>
  <c r="AP469" i="1" a="1"/>
  <c r="AP469" i="1" s="1"/>
  <c r="AQ469" i="1" a="1"/>
  <c r="AQ469" i="1" s="1"/>
  <c r="AR469" i="1" a="1"/>
  <c r="AR469" i="1" s="1"/>
  <c r="AS469" i="1" a="1"/>
  <c r="AS469" i="1"/>
  <c r="AT469" i="1" a="1"/>
  <c r="AT469" i="1" s="1"/>
  <c r="AU469" i="1" a="1"/>
  <c r="AU469" i="1" s="1"/>
  <c r="AV469" i="1" a="1"/>
  <c r="AV469" i="1" s="1"/>
  <c r="AW469" i="1" a="1"/>
  <c r="AW469" i="1" s="1"/>
  <c r="AX469" i="1" a="1"/>
  <c r="AX469" i="1" s="1"/>
  <c r="AY469" i="1" a="1"/>
  <c r="AY469" i="1" s="1"/>
  <c r="AZ469" i="1" a="1"/>
  <c r="AZ469" i="1" s="1"/>
  <c r="BA469" i="1" a="1"/>
  <c r="BA469" i="1" s="1"/>
  <c r="BB469" i="1" a="1"/>
  <c r="BB469" i="1" s="1"/>
  <c r="BC469" i="1" a="1"/>
  <c r="BC469" i="1" s="1"/>
  <c r="BD469" i="1" a="1"/>
  <c r="BD469" i="1" s="1"/>
  <c r="BE469" i="1" a="1"/>
  <c r="BE469" i="1" s="1"/>
  <c r="H470" i="1" a="1"/>
  <c r="H470" i="1" s="1"/>
  <c r="I470" i="1" a="1"/>
  <c r="I470" i="1" s="1"/>
  <c r="J470" i="1" a="1"/>
  <c r="J470" i="1" s="1"/>
  <c r="K470" i="1" a="1"/>
  <c r="K470" i="1"/>
  <c r="L470" i="1" a="1"/>
  <c r="L470" i="1" s="1"/>
  <c r="M470" i="1" a="1"/>
  <c r="M470" i="1" s="1"/>
  <c r="N470" i="1" a="1"/>
  <c r="N470" i="1" s="1"/>
  <c r="O470" i="1" a="1"/>
  <c r="O470" i="1" s="1"/>
  <c r="P470" i="1" a="1"/>
  <c r="P470" i="1" s="1"/>
  <c r="Q470" i="1" a="1"/>
  <c r="Q470" i="1" s="1"/>
  <c r="R470" i="1" a="1"/>
  <c r="R470" i="1" s="1"/>
  <c r="S470" i="1" a="1"/>
  <c r="S470" i="1" s="1"/>
  <c r="T470" i="1" a="1"/>
  <c r="T470" i="1" s="1"/>
  <c r="U470" i="1" a="1"/>
  <c r="U470" i="1" s="1"/>
  <c r="V470" i="1" a="1"/>
  <c r="V470" i="1" s="1"/>
  <c r="W470" i="1" a="1"/>
  <c r="W470" i="1"/>
  <c r="X470" i="1" a="1"/>
  <c r="X470" i="1" s="1"/>
  <c r="Y470" i="1" a="1"/>
  <c r="Y470" i="1" s="1"/>
  <c r="Z470" i="1" a="1"/>
  <c r="Z470" i="1" s="1"/>
  <c r="AA470" i="1" a="1"/>
  <c r="AA470" i="1"/>
  <c r="AB470" i="1" a="1"/>
  <c r="AB470" i="1" s="1"/>
  <c r="AC470" i="1" a="1"/>
  <c r="AC470" i="1" s="1"/>
  <c r="AD470" i="1" a="1"/>
  <c r="AD470" i="1" s="1"/>
  <c r="AE470" i="1" a="1"/>
  <c r="AE470" i="1" s="1"/>
  <c r="AF470" i="1" a="1"/>
  <c r="AF470" i="1" s="1"/>
  <c r="AG470" i="1" a="1"/>
  <c r="AG470" i="1" s="1"/>
  <c r="AH470" i="1" a="1"/>
  <c r="AH470" i="1" s="1"/>
  <c r="AI470" i="1" a="1"/>
  <c r="AI470" i="1" s="1"/>
  <c r="AJ470" i="1" a="1"/>
  <c r="AJ470" i="1" s="1"/>
  <c r="AK470" i="1" a="1"/>
  <c r="AK470" i="1" s="1"/>
  <c r="AL470" i="1" a="1"/>
  <c r="AL470" i="1" s="1"/>
  <c r="AM470" i="1" a="1"/>
  <c r="AM470" i="1" s="1"/>
  <c r="AN470" i="1" a="1"/>
  <c r="AN470" i="1" s="1"/>
  <c r="AO470" i="1" a="1"/>
  <c r="AO470" i="1" s="1"/>
  <c r="AP470" i="1" a="1"/>
  <c r="AP470" i="1" s="1"/>
  <c r="AQ470" i="1" a="1"/>
  <c r="AQ470" i="1"/>
  <c r="AR470" i="1" a="1"/>
  <c r="AR470" i="1" s="1"/>
  <c r="AS470" i="1" a="1"/>
  <c r="AS470" i="1" s="1"/>
  <c r="AT470" i="1" a="1"/>
  <c r="AT470" i="1" s="1"/>
  <c r="AU470" i="1" a="1"/>
  <c r="AU470" i="1" s="1"/>
  <c r="AV470" i="1" a="1"/>
  <c r="AV470" i="1"/>
  <c r="AW470" i="1" a="1"/>
  <c r="AW470" i="1" s="1"/>
  <c r="AX470" i="1" a="1"/>
  <c r="AX470" i="1" s="1"/>
  <c r="AY470" i="1" a="1"/>
  <c r="AY470" i="1" s="1"/>
  <c r="AZ470" i="1" a="1"/>
  <c r="AZ470" i="1" s="1"/>
  <c r="BA470" i="1" a="1"/>
  <c r="BA470" i="1" s="1"/>
  <c r="BB470" i="1" a="1"/>
  <c r="BB470" i="1" s="1"/>
  <c r="BC470" i="1" a="1"/>
  <c r="BC470" i="1" s="1"/>
  <c r="BD470" i="1" a="1"/>
  <c r="BD470" i="1" s="1"/>
  <c r="BE470" i="1" a="1"/>
  <c r="BE470" i="1" s="1"/>
  <c r="H471" i="1" a="1"/>
  <c r="H471" i="1" s="1"/>
  <c r="I471" i="1" a="1"/>
  <c r="I471" i="1" s="1"/>
  <c r="J471" i="1" a="1"/>
  <c r="J471" i="1" s="1"/>
  <c r="K471" i="1" a="1"/>
  <c r="K471" i="1" s="1"/>
  <c r="L471" i="1" a="1"/>
  <c r="L471" i="1" s="1"/>
  <c r="M471" i="1" a="1"/>
  <c r="M471" i="1" s="1"/>
  <c r="N471" i="1" a="1"/>
  <c r="N471" i="1" s="1"/>
  <c r="O471" i="1" a="1"/>
  <c r="O471" i="1" s="1"/>
  <c r="P471" i="1" a="1"/>
  <c r="P471" i="1" s="1"/>
  <c r="Q471" i="1" a="1"/>
  <c r="Q471" i="1" s="1"/>
  <c r="R471" i="1" a="1"/>
  <c r="R471" i="1" s="1"/>
  <c r="S471" i="1" a="1"/>
  <c r="S471" i="1" s="1"/>
  <c r="T471" i="1" a="1"/>
  <c r="T471" i="1" s="1"/>
  <c r="U471" i="1" a="1"/>
  <c r="U471" i="1" s="1"/>
  <c r="V471" i="1" a="1"/>
  <c r="V471" i="1" s="1"/>
  <c r="W471" i="1" a="1"/>
  <c r="W471" i="1" s="1"/>
  <c r="X471" i="1" a="1"/>
  <c r="X471" i="1" s="1"/>
  <c r="Y471" i="1" a="1"/>
  <c r="Y471" i="1" s="1"/>
  <c r="Z471" i="1" a="1"/>
  <c r="Z471" i="1" s="1"/>
  <c r="AA471" i="1" a="1"/>
  <c r="AA471" i="1" s="1"/>
  <c r="AB471" i="1" a="1"/>
  <c r="AB471" i="1" s="1"/>
  <c r="AC471" i="1" a="1"/>
  <c r="AC471" i="1" s="1"/>
  <c r="AD471" i="1" a="1"/>
  <c r="AD471" i="1" s="1"/>
  <c r="AE471" i="1" a="1"/>
  <c r="AE471" i="1" s="1"/>
  <c r="AF471" i="1" a="1"/>
  <c r="AF471" i="1" s="1"/>
  <c r="AG471" i="1" a="1"/>
  <c r="AG471" i="1" s="1"/>
  <c r="AH471" i="1" a="1"/>
  <c r="AH471" i="1" s="1"/>
  <c r="AI471" i="1" a="1"/>
  <c r="AI471" i="1" s="1"/>
  <c r="AJ471" i="1" a="1"/>
  <c r="AJ471" i="1" s="1"/>
  <c r="AK471" i="1" a="1"/>
  <c r="AK471" i="1" s="1"/>
  <c r="AL471" i="1" a="1"/>
  <c r="AL471" i="1" s="1"/>
  <c r="AM471" i="1" a="1"/>
  <c r="AM471" i="1" s="1"/>
  <c r="AN471" i="1" a="1"/>
  <c r="AN471" i="1" s="1"/>
  <c r="AO471" i="1" a="1"/>
  <c r="AO471" i="1" s="1"/>
  <c r="AP471" i="1" a="1"/>
  <c r="AP471" i="1" s="1"/>
  <c r="AQ471" i="1" a="1"/>
  <c r="AQ471" i="1" s="1"/>
  <c r="AR471" i="1" a="1"/>
  <c r="AR471" i="1" s="1"/>
  <c r="AS471" i="1" a="1"/>
  <c r="AS471" i="1" s="1"/>
  <c r="AT471" i="1" a="1"/>
  <c r="AT471" i="1" s="1"/>
  <c r="AU471" i="1" a="1"/>
  <c r="AU471" i="1" s="1"/>
  <c r="AV471" i="1" a="1"/>
  <c r="AV471" i="1" s="1"/>
  <c r="AW471" i="1" a="1"/>
  <c r="AW471" i="1" s="1"/>
  <c r="AX471" i="1" a="1"/>
  <c r="AX471" i="1" s="1"/>
  <c r="AY471" i="1" a="1"/>
  <c r="AY471" i="1" s="1"/>
  <c r="AZ471" i="1" a="1"/>
  <c r="AZ471" i="1" s="1"/>
  <c r="BA471" i="1" a="1"/>
  <c r="BA471" i="1" s="1"/>
  <c r="BB471" i="1" a="1"/>
  <c r="BB471" i="1" s="1"/>
  <c r="BC471" i="1" a="1"/>
  <c r="BC471" i="1" s="1"/>
  <c r="BD471" i="1" a="1"/>
  <c r="BD471" i="1" s="1"/>
  <c r="BE471" i="1" a="1"/>
  <c r="BE471" i="1" s="1"/>
  <c r="H472" i="1" a="1"/>
  <c r="H472" i="1" s="1"/>
  <c r="I472" i="1" a="1"/>
  <c r="I472" i="1" s="1"/>
  <c r="J472" i="1" a="1"/>
  <c r="J472" i="1" s="1"/>
  <c r="K472" i="1" a="1"/>
  <c r="K472" i="1" s="1"/>
  <c r="L472" i="1" a="1"/>
  <c r="L472" i="1" s="1"/>
  <c r="M472" i="1" a="1"/>
  <c r="M472" i="1" s="1"/>
  <c r="N472" i="1" a="1"/>
  <c r="N472" i="1" s="1"/>
  <c r="O472" i="1" a="1"/>
  <c r="O472" i="1" s="1"/>
  <c r="P472" i="1" a="1"/>
  <c r="P472" i="1" s="1"/>
  <c r="Q472" i="1" a="1"/>
  <c r="Q472" i="1" s="1"/>
  <c r="R472" i="1" a="1"/>
  <c r="R472" i="1" s="1"/>
  <c r="S472" i="1" a="1"/>
  <c r="S472" i="1" s="1"/>
  <c r="T472" i="1" a="1"/>
  <c r="T472" i="1" s="1"/>
  <c r="U472" i="1" a="1"/>
  <c r="U472" i="1" s="1"/>
  <c r="V472" i="1" a="1"/>
  <c r="V472" i="1" s="1"/>
  <c r="W472" i="1" a="1"/>
  <c r="W472" i="1" s="1"/>
  <c r="X472" i="1" a="1"/>
  <c r="X472" i="1" s="1"/>
  <c r="Y472" i="1" a="1"/>
  <c r="Y472" i="1" s="1"/>
  <c r="Z472" i="1" a="1"/>
  <c r="Z472" i="1" s="1"/>
  <c r="AA472" i="1" a="1"/>
  <c r="AA472" i="1" s="1"/>
  <c r="AB472" i="1" a="1"/>
  <c r="AB472" i="1" s="1"/>
  <c r="AC472" i="1" a="1"/>
  <c r="AC472" i="1" s="1"/>
  <c r="AD472" i="1" a="1"/>
  <c r="AD472" i="1" s="1"/>
  <c r="AE472" i="1" a="1"/>
  <c r="AE472" i="1" s="1"/>
  <c r="AF472" i="1" a="1"/>
  <c r="AF472" i="1" s="1"/>
  <c r="AG472" i="1" a="1"/>
  <c r="AG472" i="1" s="1"/>
  <c r="AH472" i="1" a="1"/>
  <c r="AH472" i="1" s="1"/>
  <c r="AI472" i="1" a="1"/>
  <c r="AI472" i="1" s="1"/>
  <c r="AJ472" i="1" a="1"/>
  <c r="AJ472" i="1" s="1"/>
  <c r="AK472" i="1" a="1"/>
  <c r="AK472" i="1" s="1"/>
  <c r="AL472" i="1" a="1"/>
  <c r="AL472" i="1" s="1"/>
  <c r="AM472" i="1" a="1"/>
  <c r="AM472" i="1" s="1"/>
  <c r="AN472" i="1" a="1"/>
  <c r="AN472" i="1" s="1"/>
  <c r="AO472" i="1" a="1"/>
  <c r="AO472" i="1" s="1"/>
  <c r="AP472" i="1" a="1"/>
  <c r="AP472" i="1" s="1"/>
  <c r="AQ472" i="1" a="1"/>
  <c r="AQ472" i="1" s="1"/>
  <c r="AR472" i="1" a="1"/>
  <c r="AR472" i="1" s="1"/>
  <c r="AS472" i="1" a="1"/>
  <c r="AS472" i="1" s="1"/>
  <c r="AT472" i="1" a="1"/>
  <c r="AT472" i="1" s="1"/>
  <c r="AU472" i="1" a="1"/>
  <c r="AU472" i="1" s="1"/>
  <c r="AV472" i="1" a="1"/>
  <c r="AV472" i="1" s="1"/>
  <c r="AW472" i="1" a="1"/>
  <c r="AW472" i="1" s="1"/>
  <c r="AX472" i="1" a="1"/>
  <c r="AX472" i="1" s="1"/>
  <c r="AY472" i="1" a="1"/>
  <c r="AY472" i="1" s="1"/>
  <c r="AZ472" i="1" a="1"/>
  <c r="AZ472" i="1" s="1"/>
  <c r="BA472" i="1" a="1"/>
  <c r="BA472" i="1" s="1"/>
  <c r="BB472" i="1" a="1"/>
  <c r="BB472" i="1" s="1"/>
  <c r="BC472" i="1" a="1"/>
  <c r="BC472" i="1" s="1"/>
  <c r="BD472" i="1" a="1"/>
  <c r="BD472" i="1" s="1"/>
  <c r="BE472" i="1" a="1"/>
  <c r="BE472" i="1" s="1"/>
  <c r="H473" i="1" a="1"/>
  <c r="H473" i="1" s="1"/>
  <c r="I473" i="1" a="1"/>
  <c r="I473" i="1" s="1"/>
  <c r="J473" i="1" a="1"/>
  <c r="J473" i="1" s="1"/>
  <c r="K473" i="1" a="1"/>
  <c r="K473" i="1" s="1"/>
  <c r="L473" i="1" a="1"/>
  <c r="L473" i="1" s="1"/>
  <c r="M473" i="1" a="1"/>
  <c r="M473" i="1" s="1"/>
  <c r="N473" i="1" a="1"/>
  <c r="N473" i="1" s="1"/>
  <c r="O473" i="1" a="1"/>
  <c r="O473" i="1" s="1"/>
  <c r="P473" i="1" a="1"/>
  <c r="P473" i="1" s="1"/>
  <c r="Q473" i="1" a="1"/>
  <c r="Q473" i="1" s="1"/>
  <c r="R473" i="1" a="1"/>
  <c r="R473" i="1" s="1"/>
  <c r="S473" i="1" a="1"/>
  <c r="S473" i="1" s="1"/>
  <c r="T473" i="1" a="1"/>
  <c r="T473" i="1" s="1"/>
  <c r="U473" i="1" a="1"/>
  <c r="U473" i="1" s="1"/>
  <c r="V473" i="1" a="1"/>
  <c r="V473" i="1" s="1"/>
  <c r="W473" i="1" a="1"/>
  <c r="W473" i="1" s="1"/>
  <c r="X473" i="1" a="1"/>
  <c r="X473" i="1" s="1"/>
  <c r="Y473" i="1" a="1"/>
  <c r="Y473" i="1" s="1"/>
  <c r="Z473" i="1" a="1"/>
  <c r="Z473" i="1" s="1"/>
  <c r="AA473" i="1" a="1"/>
  <c r="AA473" i="1" s="1"/>
  <c r="AB473" i="1" a="1"/>
  <c r="AB473" i="1" s="1"/>
  <c r="AC473" i="1" a="1"/>
  <c r="AC473" i="1" s="1"/>
  <c r="AD473" i="1" a="1"/>
  <c r="AD473" i="1" s="1"/>
  <c r="AE473" i="1" a="1"/>
  <c r="AE473" i="1" s="1"/>
  <c r="AF473" i="1" a="1"/>
  <c r="AF473" i="1" s="1"/>
  <c r="AG473" i="1" a="1"/>
  <c r="AG473" i="1" s="1"/>
  <c r="AH473" i="1" a="1"/>
  <c r="AH473" i="1" s="1"/>
  <c r="AI473" i="1" a="1"/>
  <c r="AI473" i="1" s="1"/>
  <c r="AJ473" i="1" a="1"/>
  <c r="AJ473" i="1" s="1"/>
  <c r="AK473" i="1" a="1"/>
  <c r="AK473" i="1" s="1"/>
  <c r="AL473" i="1" a="1"/>
  <c r="AL473" i="1" s="1"/>
  <c r="AM473" i="1" a="1"/>
  <c r="AM473" i="1" s="1"/>
  <c r="AN473" i="1" a="1"/>
  <c r="AN473" i="1" s="1"/>
  <c r="AO473" i="1" a="1"/>
  <c r="AO473" i="1" s="1"/>
  <c r="AP473" i="1" a="1"/>
  <c r="AP473" i="1" s="1"/>
  <c r="AQ473" i="1" a="1"/>
  <c r="AQ473" i="1" s="1"/>
  <c r="AR473" i="1" a="1"/>
  <c r="AR473" i="1" s="1"/>
  <c r="AS473" i="1" a="1"/>
  <c r="AS473" i="1" s="1"/>
  <c r="AT473" i="1" a="1"/>
  <c r="AT473" i="1" s="1"/>
  <c r="AU473" i="1" a="1"/>
  <c r="AU473" i="1" s="1"/>
  <c r="AV473" i="1" a="1"/>
  <c r="AV473" i="1" s="1"/>
  <c r="AW473" i="1" a="1"/>
  <c r="AW473" i="1" s="1"/>
  <c r="AX473" i="1" a="1"/>
  <c r="AX473" i="1" s="1"/>
  <c r="AY473" i="1" a="1"/>
  <c r="AY473" i="1" s="1"/>
  <c r="AZ473" i="1" a="1"/>
  <c r="AZ473" i="1" s="1"/>
  <c r="BA473" i="1" a="1"/>
  <c r="BA473" i="1" s="1"/>
  <c r="BB473" i="1" a="1"/>
  <c r="BB473" i="1" s="1"/>
  <c r="BC473" i="1" a="1"/>
  <c r="BC473" i="1" s="1"/>
  <c r="BD473" i="1" a="1"/>
  <c r="BD473" i="1" s="1"/>
  <c r="BE473" i="1" a="1"/>
  <c r="BE473" i="1" s="1"/>
  <c r="H474" i="1" a="1"/>
  <c r="H474" i="1" s="1"/>
  <c r="I474" i="1" a="1"/>
  <c r="I474" i="1" s="1"/>
  <c r="J474" i="1" a="1"/>
  <c r="J474" i="1" s="1"/>
  <c r="K474" i="1" a="1"/>
  <c r="K474" i="1" s="1"/>
  <c r="L474" i="1" a="1"/>
  <c r="L474" i="1" s="1"/>
  <c r="M474" i="1" a="1"/>
  <c r="M474" i="1" s="1"/>
  <c r="N474" i="1" a="1"/>
  <c r="N474" i="1" s="1"/>
  <c r="O474" i="1" a="1"/>
  <c r="O474" i="1" s="1"/>
  <c r="P474" i="1" a="1"/>
  <c r="P474" i="1" s="1"/>
  <c r="Q474" i="1" a="1"/>
  <c r="Q474" i="1" s="1"/>
  <c r="R474" i="1" a="1"/>
  <c r="R474" i="1" s="1"/>
  <c r="S474" i="1" a="1"/>
  <c r="S474" i="1" s="1"/>
  <c r="T474" i="1" a="1"/>
  <c r="T474" i="1" s="1"/>
  <c r="U474" i="1" a="1"/>
  <c r="U474" i="1" s="1"/>
  <c r="V474" i="1" a="1"/>
  <c r="V474" i="1" s="1"/>
  <c r="W474" i="1" a="1"/>
  <c r="W474" i="1" s="1"/>
  <c r="X474" i="1" a="1"/>
  <c r="X474" i="1" s="1"/>
  <c r="Y474" i="1" a="1"/>
  <c r="Y474" i="1" s="1"/>
  <c r="Z474" i="1" a="1"/>
  <c r="Z474" i="1" s="1"/>
  <c r="AA474" i="1" a="1"/>
  <c r="AA474" i="1" s="1"/>
  <c r="AB474" i="1" a="1"/>
  <c r="AB474" i="1" s="1"/>
  <c r="AC474" i="1" a="1"/>
  <c r="AC474" i="1" s="1"/>
  <c r="AD474" i="1" a="1"/>
  <c r="AD474" i="1" s="1"/>
  <c r="AE474" i="1" a="1"/>
  <c r="AE474" i="1" s="1"/>
  <c r="AF474" i="1" a="1"/>
  <c r="AF474" i="1" s="1"/>
  <c r="AG474" i="1" a="1"/>
  <c r="AG474" i="1" s="1"/>
  <c r="AH474" i="1" a="1"/>
  <c r="AH474" i="1" s="1"/>
  <c r="AI474" i="1" a="1"/>
  <c r="AI474" i="1" s="1"/>
  <c r="AJ474" i="1" a="1"/>
  <c r="AJ474" i="1" s="1"/>
  <c r="AK474" i="1" a="1"/>
  <c r="AK474" i="1" s="1"/>
  <c r="AL474" i="1" a="1"/>
  <c r="AL474" i="1" s="1"/>
  <c r="AM474" i="1" a="1"/>
  <c r="AM474" i="1" s="1"/>
  <c r="AN474" i="1" a="1"/>
  <c r="AN474" i="1" s="1"/>
  <c r="AO474" i="1" a="1"/>
  <c r="AO474" i="1" s="1"/>
  <c r="AP474" i="1" a="1"/>
  <c r="AP474" i="1" s="1"/>
  <c r="AQ474" i="1" a="1"/>
  <c r="AQ474" i="1" s="1"/>
  <c r="AR474" i="1" a="1"/>
  <c r="AR474" i="1" s="1"/>
  <c r="AS474" i="1" a="1"/>
  <c r="AS474" i="1" s="1"/>
  <c r="AT474" i="1" a="1"/>
  <c r="AT474" i="1" s="1"/>
  <c r="AU474" i="1" a="1"/>
  <c r="AU474" i="1" s="1"/>
  <c r="AV474" i="1" a="1"/>
  <c r="AV474" i="1" s="1"/>
  <c r="AW474" i="1" a="1"/>
  <c r="AW474" i="1" s="1"/>
  <c r="AX474" i="1" a="1"/>
  <c r="AX474" i="1" s="1"/>
  <c r="AY474" i="1" a="1"/>
  <c r="AY474" i="1" s="1"/>
  <c r="AZ474" i="1" a="1"/>
  <c r="AZ474" i="1" s="1"/>
  <c r="BA474" i="1" a="1"/>
  <c r="BA474" i="1" s="1"/>
  <c r="BB474" i="1" a="1"/>
  <c r="BB474" i="1" s="1"/>
  <c r="BC474" i="1" a="1"/>
  <c r="BC474" i="1" s="1"/>
  <c r="BD474" i="1" a="1"/>
  <c r="BD474" i="1" s="1"/>
  <c r="BE474" i="1" a="1"/>
  <c r="BE474" i="1" s="1"/>
  <c r="H475" i="1" a="1"/>
  <c r="H475" i="1" s="1"/>
  <c r="I475" i="1" a="1"/>
  <c r="I475" i="1" s="1"/>
  <c r="J475" i="1" a="1"/>
  <c r="J475" i="1" s="1"/>
  <c r="K475" i="1" a="1"/>
  <c r="K475" i="1"/>
  <c r="L475" i="1" a="1"/>
  <c r="L475" i="1" s="1"/>
  <c r="M475" i="1" a="1"/>
  <c r="M475" i="1" s="1"/>
  <c r="N475" i="1" a="1"/>
  <c r="N475" i="1" s="1"/>
  <c r="O475" i="1" a="1"/>
  <c r="O475" i="1" s="1"/>
  <c r="P475" i="1" a="1"/>
  <c r="P475" i="1" s="1"/>
  <c r="Q475" i="1" a="1"/>
  <c r="Q475" i="1" s="1"/>
  <c r="R475" i="1" a="1"/>
  <c r="R475" i="1" s="1"/>
  <c r="S475" i="1" a="1"/>
  <c r="S475" i="1" s="1"/>
  <c r="T475" i="1" a="1"/>
  <c r="T475" i="1" s="1"/>
  <c r="U475" i="1" a="1"/>
  <c r="U475" i="1" s="1"/>
  <c r="V475" i="1" a="1"/>
  <c r="V475" i="1" s="1"/>
  <c r="W475" i="1" a="1"/>
  <c r="W475" i="1"/>
  <c r="X475" i="1" a="1"/>
  <c r="X475" i="1" s="1"/>
  <c r="Y475" i="1" a="1"/>
  <c r="Y475" i="1" s="1"/>
  <c r="Z475" i="1" a="1"/>
  <c r="Z475" i="1" s="1"/>
  <c r="AA475" i="1" a="1"/>
  <c r="AA475" i="1" s="1"/>
  <c r="AB475" i="1" a="1"/>
  <c r="AB475" i="1" s="1"/>
  <c r="AC475" i="1" a="1"/>
  <c r="AC475" i="1" s="1"/>
  <c r="AD475" i="1" a="1"/>
  <c r="AD475" i="1" s="1"/>
  <c r="AE475" i="1" a="1"/>
  <c r="AE475" i="1" s="1"/>
  <c r="AF475" i="1" a="1"/>
  <c r="AF475" i="1" s="1"/>
  <c r="AG475" i="1" a="1"/>
  <c r="AG475" i="1" s="1"/>
  <c r="AH475" i="1" a="1"/>
  <c r="AH475" i="1" s="1"/>
  <c r="AI475" i="1" a="1"/>
  <c r="AI475" i="1" s="1"/>
  <c r="AJ475" i="1" a="1"/>
  <c r="AJ475" i="1" s="1"/>
  <c r="AK475" i="1" a="1"/>
  <c r="AK475" i="1" s="1"/>
  <c r="AL475" i="1" a="1"/>
  <c r="AL475" i="1" s="1"/>
  <c r="AM475" i="1" a="1"/>
  <c r="AM475" i="1"/>
  <c r="AN475" i="1" a="1"/>
  <c r="AN475" i="1" s="1"/>
  <c r="AO475" i="1" a="1"/>
  <c r="AO475" i="1" s="1"/>
  <c r="AP475" i="1" a="1"/>
  <c r="AP475" i="1" s="1"/>
  <c r="AQ475" i="1" a="1"/>
  <c r="AQ475" i="1"/>
  <c r="AR475" i="1" a="1"/>
  <c r="AR475" i="1" s="1"/>
  <c r="AS475" i="1" a="1"/>
  <c r="AS475" i="1" s="1"/>
  <c r="AT475" i="1" a="1"/>
  <c r="AT475" i="1" s="1"/>
  <c r="AU475" i="1" a="1"/>
  <c r="AU475" i="1" s="1"/>
  <c r="AV475" i="1" a="1"/>
  <c r="AV475" i="1" s="1"/>
  <c r="AW475" i="1" a="1"/>
  <c r="AW475" i="1" s="1"/>
  <c r="AX475" i="1" a="1"/>
  <c r="AX475" i="1" s="1"/>
  <c r="AY475" i="1" a="1"/>
  <c r="AY475" i="1" s="1"/>
  <c r="AZ475" i="1" a="1"/>
  <c r="AZ475" i="1" s="1"/>
  <c r="BA475" i="1" a="1"/>
  <c r="BA475" i="1" s="1"/>
  <c r="BB475" i="1" a="1"/>
  <c r="BB475" i="1" s="1"/>
  <c r="BC475" i="1" a="1"/>
  <c r="BC475" i="1"/>
  <c r="BD475" i="1" a="1"/>
  <c r="BD475" i="1" s="1"/>
  <c r="BE475" i="1" a="1"/>
  <c r="BE475" i="1" s="1"/>
  <c r="H476" i="1" a="1"/>
  <c r="H476" i="1" s="1"/>
  <c r="I476" i="1" a="1"/>
  <c r="I476" i="1"/>
  <c r="J476" i="1" a="1"/>
  <c r="J476" i="1" s="1"/>
  <c r="K476" i="1" a="1"/>
  <c r="K476" i="1" s="1"/>
  <c r="L476" i="1" a="1"/>
  <c r="L476" i="1" s="1"/>
  <c r="M476" i="1" a="1"/>
  <c r="M476" i="1" s="1"/>
  <c r="N476" i="1" a="1"/>
  <c r="N476" i="1" s="1"/>
  <c r="O476" i="1" a="1"/>
  <c r="O476" i="1" s="1"/>
  <c r="P476" i="1" a="1"/>
  <c r="P476" i="1" s="1"/>
  <c r="Q476" i="1" a="1"/>
  <c r="Q476" i="1" s="1"/>
  <c r="R476" i="1" a="1"/>
  <c r="R476" i="1" s="1"/>
  <c r="S476" i="1" a="1"/>
  <c r="S476" i="1" s="1"/>
  <c r="T476" i="1" a="1"/>
  <c r="T476" i="1" s="1"/>
  <c r="U476" i="1" a="1"/>
  <c r="U476" i="1"/>
  <c r="V476" i="1" a="1"/>
  <c r="V476" i="1" s="1"/>
  <c r="W476" i="1" a="1"/>
  <c r="W476" i="1" s="1"/>
  <c r="X476" i="1" a="1"/>
  <c r="X476" i="1" s="1"/>
  <c r="Y476" i="1" a="1"/>
  <c r="Y476" i="1"/>
  <c r="Z476" i="1" a="1"/>
  <c r="Z476" i="1" s="1"/>
  <c r="AA476" i="1" a="1"/>
  <c r="AA476" i="1" s="1"/>
  <c r="AB476" i="1" a="1"/>
  <c r="AB476" i="1" s="1"/>
  <c r="AC476" i="1" a="1"/>
  <c r="AC476" i="1" s="1"/>
  <c r="AD476" i="1" a="1"/>
  <c r="AD476" i="1" s="1"/>
  <c r="AE476" i="1" a="1"/>
  <c r="AE476" i="1" s="1"/>
  <c r="AF476" i="1" a="1"/>
  <c r="AF476" i="1" s="1"/>
  <c r="AG476" i="1" a="1"/>
  <c r="AG476" i="1" s="1"/>
  <c r="AH476" i="1" a="1"/>
  <c r="AH476" i="1" s="1"/>
  <c r="AI476" i="1" a="1"/>
  <c r="AI476" i="1" s="1"/>
  <c r="AJ476" i="1" a="1"/>
  <c r="AJ476" i="1" s="1"/>
  <c r="AK476" i="1" a="1"/>
  <c r="AK476" i="1"/>
  <c r="AL476" i="1" a="1"/>
  <c r="AL476" i="1" s="1"/>
  <c r="AM476" i="1" a="1"/>
  <c r="AM476" i="1" s="1"/>
  <c r="AN476" i="1" a="1"/>
  <c r="AN476" i="1" s="1"/>
  <c r="AO476" i="1" a="1"/>
  <c r="AO476" i="1"/>
  <c r="AP476" i="1" a="1"/>
  <c r="AP476" i="1" s="1"/>
  <c r="AQ476" i="1" a="1"/>
  <c r="AQ476" i="1" s="1"/>
  <c r="AR476" i="1" a="1"/>
  <c r="AR476" i="1" s="1"/>
  <c r="AS476" i="1" a="1"/>
  <c r="AS476" i="1" s="1"/>
  <c r="AT476" i="1" a="1"/>
  <c r="AT476" i="1" s="1"/>
  <c r="AU476" i="1" a="1"/>
  <c r="AU476" i="1" s="1"/>
  <c r="AV476" i="1" a="1"/>
  <c r="AV476" i="1" s="1"/>
  <c r="AW476" i="1" a="1"/>
  <c r="AW476" i="1" s="1"/>
  <c r="AX476" i="1" a="1"/>
  <c r="AX476" i="1" s="1"/>
  <c r="AY476" i="1" a="1"/>
  <c r="AY476" i="1" s="1"/>
  <c r="AZ476" i="1" a="1"/>
  <c r="AZ476" i="1" s="1"/>
  <c r="BA476" i="1" a="1"/>
  <c r="BA476" i="1"/>
  <c r="BB476" i="1" a="1"/>
  <c r="BB476" i="1" s="1"/>
  <c r="BC476" i="1" a="1"/>
  <c r="BC476" i="1" s="1"/>
  <c r="BD476" i="1" a="1"/>
  <c r="BD476" i="1" s="1"/>
  <c r="BE476" i="1" a="1"/>
  <c r="BE476" i="1" s="1"/>
  <c r="H477" i="1" a="1"/>
  <c r="H477" i="1"/>
  <c r="I477" i="1" a="1"/>
  <c r="I477" i="1" s="1"/>
  <c r="J477" i="1" a="1"/>
  <c r="J477" i="1"/>
  <c r="K477" i="1" a="1"/>
  <c r="K477" i="1" s="1"/>
  <c r="L477" i="1" a="1"/>
  <c r="L477" i="1"/>
  <c r="M477" i="1" a="1"/>
  <c r="M477" i="1" s="1"/>
  <c r="N477" i="1" a="1"/>
  <c r="N477" i="1"/>
  <c r="O477" i="1" a="1"/>
  <c r="O477" i="1" s="1"/>
  <c r="P477" i="1" a="1"/>
  <c r="P477" i="1"/>
  <c r="Q477" i="1" a="1"/>
  <c r="Q477" i="1" s="1"/>
  <c r="R477" i="1" a="1"/>
  <c r="R477" i="1"/>
  <c r="S477" i="1" a="1"/>
  <c r="S477" i="1" s="1"/>
  <c r="T477" i="1" a="1"/>
  <c r="T477" i="1" s="1"/>
  <c r="U477" i="1" a="1"/>
  <c r="U477" i="1" s="1"/>
  <c r="V477" i="1" a="1"/>
  <c r="V477" i="1" s="1"/>
  <c r="W477" i="1" a="1"/>
  <c r="W477" i="1" s="1"/>
  <c r="X477" i="1" a="1"/>
  <c r="X477" i="1" s="1"/>
  <c r="Y477" i="1" a="1"/>
  <c r="Y477" i="1" s="1"/>
  <c r="Z477" i="1" a="1"/>
  <c r="Z477" i="1" s="1"/>
  <c r="AA477" i="1" a="1"/>
  <c r="AA477" i="1" s="1"/>
  <c r="AB477" i="1" a="1"/>
  <c r="AB477" i="1" s="1"/>
  <c r="AC477" i="1" a="1"/>
  <c r="AC477" i="1" s="1"/>
  <c r="AD477" i="1" a="1"/>
  <c r="AD477" i="1" s="1"/>
  <c r="AE477" i="1" a="1"/>
  <c r="AE477" i="1" s="1"/>
  <c r="AF477" i="1" a="1"/>
  <c r="AF477" i="1" s="1"/>
  <c r="AG477" i="1" a="1"/>
  <c r="AG477" i="1" s="1"/>
  <c r="AH477" i="1" a="1"/>
  <c r="AH477" i="1" s="1"/>
  <c r="AI477" i="1" a="1"/>
  <c r="AI477" i="1" s="1"/>
  <c r="AJ477" i="1" a="1"/>
  <c r="AJ477" i="1" s="1"/>
  <c r="AK477" i="1" a="1"/>
  <c r="AK477" i="1" s="1"/>
  <c r="AL477" i="1" a="1"/>
  <c r="AL477" i="1" s="1"/>
  <c r="AM477" i="1" a="1"/>
  <c r="AM477" i="1" s="1"/>
  <c r="AN477" i="1" a="1"/>
  <c r="AN477" i="1" s="1"/>
  <c r="AO477" i="1" a="1"/>
  <c r="AO477" i="1" s="1"/>
  <c r="AP477" i="1" a="1"/>
  <c r="AP477" i="1" s="1"/>
  <c r="AQ477" i="1" a="1"/>
  <c r="AQ477" i="1" s="1"/>
  <c r="AR477" i="1" a="1"/>
  <c r="AR477" i="1" s="1"/>
  <c r="AS477" i="1" a="1"/>
  <c r="AS477" i="1" s="1"/>
  <c r="AT477" i="1" a="1"/>
  <c r="AT477" i="1" s="1"/>
  <c r="AU477" i="1" a="1"/>
  <c r="AU477" i="1" s="1"/>
  <c r="AV477" i="1" a="1"/>
  <c r="AV477" i="1" s="1"/>
  <c r="AW477" i="1" a="1"/>
  <c r="AW477" i="1" s="1"/>
  <c r="AX477" i="1" a="1"/>
  <c r="AX477" i="1" s="1"/>
  <c r="AY477" i="1" a="1"/>
  <c r="AY477" i="1" s="1"/>
  <c r="AZ477" i="1" a="1"/>
  <c r="AZ477" i="1" s="1"/>
  <c r="BA477" i="1" a="1"/>
  <c r="BA477" i="1" s="1"/>
  <c r="BB477" i="1" a="1"/>
  <c r="BB477" i="1" s="1"/>
  <c r="BC477" i="1" a="1"/>
  <c r="BC477" i="1" s="1"/>
  <c r="BD477" i="1" a="1"/>
  <c r="BD477" i="1" s="1"/>
  <c r="BE477" i="1" a="1"/>
  <c r="BE477" i="1" s="1"/>
  <c r="H478" i="1" a="1"/>
  <c r="H478" i="1" s="1"/>
  <c r="I478" i="1" a="1"/>
  <c r="I478" i="1" s="1"/>
  <c r="J478" i="1" a="1"/>
  <c r="J478" i="1" s="1"/>
  <c r="K478" i="1" a="1"/>
  <c r="K478" i="1" s="1"/>
  <c r="L478" i="1" a="1"/>
  <c r="L478" i="1" s="1"/>
  <c r="M478" i="1" a="1"/>
  <c r="M478" i="1" s="1"/>
  <c r="N478" i="1" a="1"/>
  <c r="N478" i="1" s="1"/>
  <c r="O478" i="1" a="1"/>
  <c r="O478" i="1" s="1"/>
  <c r="P478" i="1" a="1"/>
  <c r="P478" i="1" s="1"/>
  <c r="Q478" i="1" a="1"/>
  <c r="Q478" i="1" s="1"/>
  <c r="R478" i="1" a="1"/>
  <c r="R478" i="1" s="1"/>
  <c r="S478" i="1" a="1"/>
  <c r="S478" i="1" s="1"/>
  <c r="T478" i="1" a="1"/>
  <c r="T478" i="1" s="1"/>
  <c r="U478" i="1" a="1"/>
  <c r="U478" i="1" s="1"/>
  <c r="V478" i="1" a="1"/>
  <c r="V478" i="1" s="1"/>
  <c r="W478" i="1" a="1"/>
  <c r="W478" i="1" s="1"/>
  <c r="X478" i="1" a="1"/>
  <c r="X478" i="1" s="1"/>
  <c r="Y478" i="1" a="1"/>
  <c r="Y478" i="1" s="1"/>
  <c r="Z478" i="1" a="1"/>
  <c r="Z478" i="1" s="1"/>
  <c r="AA478" i="1" a="1"/>
  <c r="AA478" i="1" s="1"/>
  <c r="AB478" i="1" a="1"/>
  <c r="AB478" i="1" s="1"/>
  <c r="AC478" i="1" a="1"/>
  <c r="AC478" i="1" s="1"/>
  <c r="AD478" i="1" a="1"/>
  <c r="AD478" i="1" s="1"/>
  <c r="AE478" i="1" a="1"/>
  <c r="AE478" i="1" s="1"/>
  <c r="AF478" i="1" a="1"/>
  <c r="AF478" i="1" s="1"/>
  <c r="AG478" i="1" a="1"/>
  <c r="AG478" i="1" s="1"/>
  <c r="AH478" i="1" a="1"/>
  <c r="AH478" i="1" s="1"/>
  <c r="AI478" i="1" a="1"/>
  <c r="AI478" i="1" s="1"/>
  <c r="AJ478" i="1" a="1"/>
  <c r="AJ478" i="1" s="1"/>
  <c r="AK478" i="1" a="1"/>
  <c r="AK478" i="1" s="1"/>
  <c r="AL478" i="1" a="1"/>
  <c r="AL478" i="1" s="1"/>
  <c r="AM478" i="1" a="1"/>
  <c r="AM478" i="1" s="1"/>
  <c r="AN478" i="1" a="1"/>
  <c r="AN478" i="1" s="1"/>
  <c r="AO478" i="1" a="1"/>
  <c r="AO478" i="1" s="1"/>
  <c r="AP478" i="1" a="1"/>
  <c r="AP478" i="1" s="1"/>
  <c r="AQ478" i="1" a="1"/>
  <c r="AQ478" i="1" s="1"/>
  <c r="AR478" i="1" a="1"/>
  <c r="AR478" i="1" s="1"/>
  <c r="AS478" i="1" a="1"/>
  <c r="AS478" i="1" s="1"/>
  <c r="AT478" i="1" a="1"/>
  <c r="AT478" i="1" s="1"/>
  <c r="AU478" i="1" a="1"/>
  <c r="AU478" i="1" s="1"/>
  <c r="AV478" i="1" a="1"/>
  <c r="AV478" i="1" s="1"/>
  <c r="AW478" i="1" a="1"/>
  <c r="AW478" i="1" s="1"/>
  <c r="AX478" i="1" a="1"/>
  <c r="AX478" i="1" s="1"/>
  <c r="AY478" i="1" a="1"/>
  <c r="AY478" i="1" s="1"/>
  <c r="AZ478" i="1" a="1"/>
  <c r="AZ478" i="1" s="1"/>
  <c r="BA478" i="1" a="1"/>
  <c r="BA478" i="1" s="1"/>
  <c r="BB478" i="1" a="1"/>
  <c r="BB478" i="1" s="1"/>
  <c r="BC478" i="1" a="1"/>
  <c r="BC478" i="1" s="1"/>
  <c r="BD478" i="1" a="1"/>
  <c r="BD478" i="1" s="1"/>
  <c r="BE478" i="1" a="1"/>
  <c r="BE478" i="1" s="1"/>
  <c r="H479" i="1" a="1"/>
  <c r="H479" i="1" s="1"/>
  <c r="I479" i="1" a="1"/>
  <c r="I479" i="1" s="1"/>
  <c r="J479" i="1" a="1"/>
  <c r="J479" i="1" s="1"/>
  <c r="K479" i="1" a="1"/>
  <c r="K479" i="1" s="1"/>
  <c r="L479" i="1" a="1"/>
  <c r="L479" i="1" s="1"/>
  <c r="M479" i="1" a="1"/>
  <c r="M479" i="1" s="1"/>
  <c r="N479" i="1" a="1"/>
  <c r="N479" i="1" s="1"/>
  <c r="O479" i="1" a="1"/>
  <c r="O479" i="1" s="1"/>
  <c r="P479" i="1" a="1"/>
  <c r="P479" i="1" s="1"/>
  <c r="Q479" i="1" a="1"/>
  <c r="Q479" i="1" s="1"/>
  <c r="R479" i="1" a="1"/>
  <c r="R479" i="1" s="1"/>
  <c r="S479" i="1" a="1"/>
  <c r="S479" i="1" s="1"/>
  <c r="T479" i="1" a="1"/>
  <c r="T479" i="1" s="1"/>
  <c r="U479" i="1" a="1"/>
  <c r="U479" i="1" s="1"/>
  <c r="V479" i="1" a="1"/>
  <c r="V479" i="1" s="1"/>
  <c r="W479" i="1" a="1"/>
  <c r="W479" i="1" s="1"/>
  <c r="X479" i="1" a="1"/>
  <c r="X479" i="1" s="1"/>
  <c r="Y479" i="1" a="1"/>
  <c r="Y479" i="1" s="1"/>
  <c r="Z479" i="1" a="1"/>
  <c r="Z479" i="1" s="1"/>
  <c r="AA479" i="1" a="1"/>
  <c r="AA479" i="1" s="1"/>
  <c r="AB479" i="1" a="1"/>
  <c r="AB479" i="1" s="1"/>
  <c r="AC479" i="1" a="1"/>
  <c r="AC479" i="1" s="1"/>
  <c r="AD479" i="1" a="1"/>
  <c r="AD479" i="1" s="1"/>
  <c r="AE479" i="1" a="1"/>
  <c r="AE479" i="1" s="1"/>
  <c r="AF479" i="1" a="1"/>
  <c r="AF479" i="1" s="1"/>
  <c r="AG479" i="1" a="1"/>
  <c r="AG479" i="1" s="1"/>
  <c r="AH479" i="1" a="1"/>
  <c r="AH479" i="1" s="1"/>
  <c r="AI479" i="1" a="1"/>
  <c r="AI479" i="1" s="1"/>
  <c r="AJ479" i="1" a="1"/>
  <c r="AJ479" i="1" s="1"/>
  <c r="AK479" i="1" a="1"/>
  <c r="AK479" i="1" s="1"/>
  <c r="AL479" i="1" a="1"/>
  <c r="AL479" i="1" s="1"/>
  <c r="AM479" i="1" a="1"/>
  <c r="AM479" i="1" s="1"/>
  <c r="AN479" i="1" a="1"/>
  <c r="AN479" i="1" s="1"/>
  <c r="AO479" i="1" a="1"/>
  <c r="AO479" i="1" s="1"/>
  <c r="AP479" i="1" a="1"/>
  <c r="AP479" i="1" s="1"/>
  <c r="AQ479" i="1" a="1"/>
  <c r="AQ479" i="1" s="1"/>
  <c r="AR479" i="1" a="1"/>
  <c r="AR479" i="1" s="1"/>
  <c r="AS479" i="1" a="1"/>
  <c r="AS479" i="1" s="1"/>
  <c r="AT479" i="1" a="1"/>
  <c r="AT479" i="1" s="1"/>
  <c r="AU479" i="1" a="1"/>
  <c r="AU479" i="1" s="1"/>
  <c r="AV479" i="1" a="1"/>
  <c r="AV479" i="1" s="1"/>
  <c r="AW479" i="1" a="1"/>
  <c r="AW479" i="1" s="1"/>
  <c r="AX479" i="1" a="1"/>
  <c r="AX479" i="1" s="1"/>
  <c r="AY479" i="1" a="1"/>
  <c r="AY479" i="1" s="1"/>
  <c r="AZ479" i="1" a="1"/>
  <c r="AZ479" i="1" s="1"/>
  <c r="BA479" i="1" a="1"/>
  <c r="BA479" i="1" s="1"/>
  <c r="BB479" i="1" a="1"/>
  <c r="BB479" i="1" s="1"/>
  <c r="BC479" i="1" a="1"/>
  <c r="BC479" i="1" s="1"/>
  <c r="BD479" i="1" a="1"/>
  <c r="BD479" i="1" s="1"/>
  <c r="BE479" i="1" a="1"/>
  <c r="BE479" i="1" s="1"/>
  <c r="H480" i="1" a="1"/>
  <c r="H480" i="1" s="1"/>
  <c r="I480" i="1" a="1"/>
  <c r="I480" i="1" s="1"/>
  <c r="J480" i="1" a="1"/>
  <c r="J480" i="1" s="1"/>
  <c r="K480" i="1" a="1"/>
  <c r="K480" i="1" s="1"/>
  <c r="L480" i="1" a="1"/>
  <c r="L480" i="1" s="1"/>
  <c r="M480" i="1" a="1"/>
  <c r="M480" i="1" s="1"/>
  <c r="N480" i="1" a="1"/>
  <c r="N480" i="1" s="1"/>
  <c r="O480" i="1" a="1"/>
  <c r="O480" i="1" s="1"/>
  <c r="P480" i="1" a="1"/>
  <c r="P480" i="1" s="1"/>
  <c r="Q480" i="1" a="1"/>
  <c r="Q480" i="1" s="1"/>
  <c r="R480" i="1" a="1"/>
  <c r="R480" i="1" s="1"/>
  <c r="S480" i="1" a="1"/>
  <c r="S480" i="1" s="1"/>
  <c r="T480" i="1" a="1"/>
  <c r="T480" i="1" s="1"/>
  <c r="U480" i="1" a="1"/>
  <c r="U480" i="1" s="1"/>
  <c r="V480" i="1" a="1"/>
  <c r="V480" i="1" s="1"/>
  <c r="W480" i="1" a="1"/>
  <c r="W480" i="1" s="1"/>
  <c r="X480" i="1" a="1"/>
  <c r="X480" i="1" s="1"/>
  <c r="Y480" i="1" a="1"/>
  <c r="Y480" i="1" s="1"/>
  <c r="Z480" i="1" a="1"/>
  <c r="Z480" i="1" s="1"/>
  <c r="AA480" i="1" a="1"/>
  <c r="AA480" i="1" s="1"/>
  <c r="AB480" i="1" a="1"/>
  <c r="AB480" i="1" s="1"/>
  <c r="AC480" i="1" a="1"/>
  <c r="AC480" i="1" s="1"/>
  <c r="AD480" i="1" a="1"/>
  <c r="AD480" i="1" s="1"/>
  <c r="AE480" i="1" a="1"/>
  <c r="AE480" i="1" s="1"/>
  <c r="AF480" i="1" a="1"/>
  <c r="AF480" i="1" s="1"/>
  <c r="AG480" i="1" a="1"/>
  <c r="AG480" i="1" s="1"/>
  <c r="AH480" i="1" a="1"/>
  <c r="AH480" i="1" s="1"/>
  <c r="AI480" i="1" a="1"/>
  <c r="AI480" i="1" s="1"/>
  <c r="AJ480" i="1" a="1"/>
  <c r="AJ480" i="1" s="1"/>
  <c r="AK480" i="1" a="1"/>
  <c r="AK480" i="1" s="1"/>
  <c r="AL480" i="1" a="1"/>
  <c r="AL480" i="1" s="1"/>
  <c r="AM480" i="1" a="1"/>
  <c r="AM480" i="1" s="1"/>
  <c r="AN480" i="1" a="1"/>
  <c r="AN480" i="1" s="1"/>
  <c r="AO480" i="1" a="1"/>
  <c r="AO480" i="1" s="1"/>
  <c r="AP480" i="1" a="1"/>
  <c r="AP480" i="1" s="1"/>
  <c r="AQ480" i="1" a="1"/>
  <c r="AQ480" i="1" s="1"/>
  <c r="AR480" i="1" a="1"/>
  <c r="AR480" i="1" s="1"/>
  <c r="AS480" i="1" a="1"/>
  <c r="AS480" i="1" s="1"/>
  <c r="AT480" i="1" a="1"/>
  <c r="AT480" i="1" s="1"/>
  <c r="AU480" i="1" a="1"/>
  <c r="AU480" i="1" s="1"/>
  <c r="AV480" i="1" a="1"/>
  <c r="AV480" i="1" s="1"/>
  <c r="AW480" i="1" a="1"/>
  <c r="AW480" i="1" s="1"/>
  <c r="AX480" i="1" a="1"/>
  <c r="AX480" i="1" s="1"/>
  <c r="AY480" i="1" a="1"/>
  <c r="AY480" i="1" s="1"/>
  <c r="AZ480" i="1" a="1"/>
  <c r="AZ480" i="1" s="1"/>
  <c r="BA480" i="1" a="1"/>
  <c r="BA480" i="1" s="1"/>
  <c r="BB480" i="1" a="1"/>
  <c r="BB480" i="1" s="1"/>
  <c r="BC480" i="1" a="1"/>
  <c r="BC480" i="1" s="1"/>
  <c r="BD480" i="1" a="1"/>
  <c r="BD480" i="1" s="1"/>
  <c r="BE480" i="1" a="1"/>
  <c r="BE480" i="1" s="1"/>
  <c r="H481" i="1" a="1"/>
  <c r="H481" i="1" s="1"/>
  <c r="I481" i="1" a="1"/>
  <c r="I481" i="1" s="1"/>
  <c r="J481" i="1" a="1"/>
  <c r="J481" i="1" s="1"/>
  <c r="K481" i="1" a="1"/>
  <c r="K481" i="1" s="1"/>
  <c r="L481" i="1" a="1"/>
  <c r="L481" i="1" s="1"/>
  <c r="M481" i="1" a="1"/>
  <c r="M481" i="1" s="1"/>
  <c r="N481" i="1" a="1"/>
  <c r="N481" i="1" s="1"/>
  <c r="O481" i="1" a="1"/>
  <c r="O481" i="1" s="1"/>
  <c r="P481" i="1" a="1"/>
  <c r="P481" i="1" s="1"/>
  <c r="Q481" i="1" a="1"/>
  <c r="Q481" i="1" s="1"/>
  <c r="R481" i="1" a="1"/>
  <c r="R481" i="1" s="1"/>
  <c r="S481" i="1" a="1"/>
  <c r="S481" i="1" s="1"/>
  <c r="T481" i="1" a="1"/>
  <c r="T481" i="1" s="1"/>
  <c r="U481" i="1" a="1"/>
  <c r="U481" i="1" s="1"/>
  <c r="V481" i="1" a="1"/>
  <c r="V481" i="1" s="1"/>
  <c r="W481" i="1" a="1"/>
  <c r="W481" i="1" s="1"/>
  <c r="X481" i="1" a="1"/>
  <c r="X481" i="1" s="1"/>
  <c r="Y481" i="1" a="1"/>
  <c r="Y481" i="1" s="1"/>
  <c r="Z481" i="1" a="1"/>
  <c r="Z481" i="1" s="1"/>
  <c r="AA481" i="1" a="1"/>
  <c r="AA481" i="1" s="1"/>
  <c r="AB481" i="1" a="1"/>
  <c r="AB481" i="1" s="1"/>
  <c r="AC481" i="1" a="1"/>
  <c r="AC481" i="1" s="1"/>
  <c r="AD481" i="1" a="1"/>
  <c r="AD481" i="1" s="1"/>
  <c r="AE481" i="1" a="1"/>
  <c r="AE481" i="1" s="1"/>
  <c r="AF481" i="1" a="1"/>
  <c r="AF481" i="1" s="1"/>
  <c r="AG481" i="1" a="1"/>
  <c r="AG481" i="1" s="1"/>
  <c r="AH481" i="1" a="1"/>
  <c r="AH481" i="1" s="1"/>
  <c r="AI481" i="1" a="1"/>
  <c r="AI481" i="1" s="1"/>
  <c r="AJ481" i="1" a="1"/>
  <c r="AJ481" i="1" s="1"/>
  <c r="AK481" i="1" a="1"/>
  <c r="AK481" i="1" s="1"/>
  <c r="AL481" i="1" a="1"/>
  <c r="AL481" i="1" s="1"/>
  <c r="AM481" i="1" a="1"/>
  <c r="AM481" i="1" s="1"/>
  <c r="AN481" i="1" a="1"/>
  <c r="AN481" i="1" s="1"/>
  <c r="AO481" i="1" a="1"/>
  <c r="AO481" i="1" s="1"/>
  <c r="AP481" i="1" a="1"/>
  <c r="AP481" i="1" s="1"/>
  <c r="AQ481" i="1" a="1"/>
  <c r="AQ481" i="1" s="1"/>
  <c r="AR481" i="1" a="1"/>
  <c r="AR481" i="1" s="1"/>
  <c r="AS481" i="1" a="1"/>
  <c r="AS481" i="1" s="1"/>
  <c r="AT481" i="1" a="1"/>
  <c r="AT481" i="1" s="1"/>
  <c r="AU481" i="1" a="1"/>
  <c r="AU481" i="1" s="1"/>
  <c r="AV481" i="1" a="1"/>
  <c r="AV481" i="1" s="1"/>
  <c r="AW481" i="1" a="1"/>
  <c r="AW481" i="1" s="1"/>
  <c r="AX481" i="1" a="1"/>
  <c r="AX481" i="1" s="1"/>
  <c r="AY481" i="1" a="1"/>
  <c r="AY481" i="1" s="1"/>
  <c r="AZ481" i="1" a="1"/>
  <c r="AZ481" i="1" s="1"/>
  <c r="BA481" i="1" a="1"/>
  <c r="BA481" i="1" s="1"/>
  <c r="BB481" i="1" a="1"/>
  <c r="BB481" i="1" s="1"/>
  <c r="BC481" i="1" a="1"/>
  <c r="BC481" i="1" s="1"/>
  <c r="BD481" i="1" a="1"/>
  <c r="BD481" i="1" s="1"/>
  <c r="BE481" i="1" a="1"/>
  <c r="BE481" i="1" s="1"/>
  <c r="H482" i="1" a="1"/>
  <c r="H482" i="1" s="1"/>
  <c r="I482" i="1" a="1"/>
  <c r="I482" i="1" s="1"/>
  <c r="J482" i="1" a="1"/>
  <c r="J482" i="1" s="1"/>
  <c r="K482" i="1" a="1"/>
  <c r="K482" i="1" s="1"/>
  <c r="L482" i="1" a="1"/>
  <c r="L482" i="1" s="1"/>
  <c r="M482" i="1" a="1"/>
  <c r="M482" i="1" s="1"/>
  <c r="N482" i="1" a="1"/>
  <c r="N482" i="1" s="1"/>
  <c r="O482" i="1" a="1"/>
  <c r="O482" i="1" s="1"/>
  <c r="P482" i="1" a="1"/>
  <c r="P482" i="1" s="1"/>
  <c r="Q482" i="1" a="1"/>
  <c r="Q482" i="1" s="1"/>
  <c r="R482" i="1" a="1"/>
  <c r="R482" i="1" s="1"/>
  <c r="S482" i="1" a="1"/>
  <c r="S482" i="1" s="1"/>
  <c r="T482" i="1" a="1"/>
  <c r="T482" i="1" s="1"/>
  <c r="U482" i="1" a="1"/>
  <c r="U482" i="1" s="1"/>
  <c r="V482" i="1" a="1"/>
  <c r="V482" i="1" s="1"/>
  <c r="W482" i="1" a="1"/>
  <c r="W482" i="1" s="1"/>
  <c r="X482" i="1" a="1"/>
  <c r="X482" i="1" s="1"/>
  <c r="Y482" i="1" a="1"/>
  <c r="Y482" i="1" s="1"/>
  <c r="Z482" i="1" a="1"/>
  <c r="Z482" i="1" s="1"/>
  <c r="AA482" i="1" a="1"/>
  <c r="AA482" i="1" s="1"/>
  <c r="AB482" i="1" a="1"/>
  <c r="AB482" i="1" s="1"/>
  <c r="AC482" i="1" a="1"/>
  <c r="AC482" i="1" s="1"/>
  <c r="AD482" i="1" a="1"/>
  <c r="AD482" i="1" s="1"/>
  <c r="AE482" i="1" a="1"/>
  <c r="AE482" i="1" s="1"/>
  <c r="AF482" i="1" a="1"/>
  <c r="AF482" i="1" s="1"/>
  <c r="AG482" i="1" a="1"/>
  <c r="AG482" i="1" s="1"/>
  <c r="AH482" i="1" a="1"/>
  <c r="AH482" i="1" s="1"/>
  <c r="AI482" i="1" a="1"/>
  <c r="AI482" i="1" s="1"/>
  <c r="AJ482" i="1" a="1"/>
  <c r="AJ482" i="1" s="1"/>
  <c r="AK482" i="1" a="1"/>
  <c r="AK482" i="1" s="1"/>
  <c r="AL482" i="1" a="1"/>
  <c r="AL482" i="1" s="1"/>
  <c r="AM482" i="1" a="1"/>
  <c r="AM482" i="1" s="1"/>
  <c r="AN482" i="1" a="1"/>
  <c r="AN482" i="1" s="1"/>
  <c r="AO482" i="1" a="1"/>
  <c r="AO482" i="1" s="1"/>
  <c r="AP482" i="1" a="1"/>
  <c r="AP482" i="1" s="1"/>
  <c r="AQ482" i="1" a="1"/>
  <c r="AQ482" i="1" s="1"/>
  <c r="AR482" i="1" a="1"/>
  <c r="AR482" i="1" s="1"/>
  <c r="AS482" i="1" a="1"/>
  <c r="AS482" i="1" s="1"/>
  <c r="AT482" i="1" a="1"/>
  <c r="AT482" i="1" s="1"/>
  <c r="AU482" i="1" a="1"/>
  <c r="AU482" i="1" s="1"/>
  <c r="AV482" i="1" a="1"/>
  <c r="AV482" i="1" s="1"/>
  <c r="AW482" i="1" a="1"/>
  <c r="AW482" i="1" s="1"/>
  <c r="AX482" i="1" a="1"/>
  <c r="AX482" i="1" s="1"/>
  <c r="AY482" i="1" a="1"/>
  <c r="AY482" i="1" s="1"/>
  <c r="AZ482" i="1" a="1"/>
  <c r="AZ482" i="1" s="1"/>
  <c r="BA482" i="1" a="1"/>
  <c r="BA482" i="1" s="1"/>
  <c r="BB482" i="1" a="1"/>
  <c r="BB482" i="1" s="1"/>
  <c r="BC482" i="1" a="1"/>
  <c r="BC482" i="1" s="1"/>
  <c r="BD482" i="1" a="1"/>
  <c r="BD482" i="1" s="1"/>
  <c r="BE482" i="1" a="1"/>
  <c r="BE482" i="1" s="1"/>
  <c r="H483" i="1" a="1"/>
  <c r="H483" i="1" s="1"/>
  <c r="I483" i="1" a="1"/>
  <c r="I483" i="1" s="1"/>
  <c r="J483" i="1" a="1"/>
  <c r="J483" i="1" s="1"/>
  <c r="K483" i="1" a="1"/>
  <c r="K483" i="1" s="1"/>
  <c r="L483" i="1" a="1"/>
  <c r="L483" i="1" s="1"/>
  <c r="M483" i="1" a="1"/>
  <c r="M483" i="1" s="1"/>
  <c r="N483" i="1" a="1"/>
  <c r="N483" i="1" s="1"/>
  <c r="O483" i="1" a="1"/>
  <c r="O483" i="1" s="1"/>
  <c r="P483" i="1" a="1"/>
  <c r="P483" i="1" s="1"/>
  <c r="Q483" i="1" a="1"/>
  <c r="Q483" i="1" s="1"/>
  <c r="R483" i="1" a="1"/>
  <c r="R483" i="1" s="1"/>
  <c r="S483" i="1" a="1"/>
  <c r="S483" i="1" s="1"/>
  <c r="T483" i="1" a="1"/>
  <c r="T483" i="1" s="1"/>
  <c r="U483" i="1" a="1"/>
  <c r="U483" i="1" s="1"/>
  <c r="V483" i="1" a="1"/>
  <c r="V483" i="1" s="1"/>
  <c r="W483" i="1" a="1"/>
  <c r="W483" i="1" s="1"/>
  <c r="X483" i="1" a="1"/>
  <c r="X483" i="1" s="1"/>
  <c r="Y483" i="1" a="1"/>
  <c r="Y483" i="1" s="1"/>
  <c r="Z483" i="1" a="1"/>
  <c r="Z483" i="1" s="1"/>
  <c r="AA483" i="1" a="1"/>
  <c r="AA483" i="1" s="1"/>
  <c r="AB483" i="1" a="1"/>
  <c r="AB483" i="1" s="1"/>
  <c r="AC483" i="1" a="1"/>
  <c r="AC483" i="1" s="1"/>
  <c r="AD483" i="1" a="1"/>
  <c r="AD483" i="1" s="1"/>
  <c r="AE483" i="1" a="1"/>
  <c r="AE483" i="1" s="1"/>
  <c r="AF483" i="1" a="1"/>
  <c r="AF483" i="1" s="1"/>
  <c r="AG483" i="1" a="1"/>
  <c r="AG483" i="1" s="1"/>
  <c r="AH483" i="1" a="1"/>
  <c r="AH483" i="1" s="1"/>
  <c r="AI483" i="1" a="1"/>
  <c r="AI483" i="1" s="1"/>
  <c r="AJ483" i="1" a="1"/>
  <c r="AJ483" i="1" s="1"/>
  <c r="AK483" i="1" a="1"/>
  <c r="AK483" i="1" s="1"/>
  <c r="AL483" i="1" a="1"/>
  <c r="AL483" i="1" s="1"/>
  <c r="AM483" i="1" a="1"/>
  <c r="AM483" i="1" s="1"/>
  <c r="AN483" i="1" a="1"/>
  <c r="AN483" i="1" s="1"/>
  <c r="AO483" i="1" a="1"/>
  <c r="AO483" i="1"/>
  <c r="AP483" i="1" a="1"/>
  <c r="AP483" i="1" s="1"/>
  <c r="AQ483" i="1" a="1"/>
  <c r="AQ483" i="1" s="1"/>
  <c r="AR483" i="1" a="1"/>
  <c r="AR483" i="1" s="1"/>
  <c r="AS483" i="1" a="1"/>
  <c r="AS483" i="1" s="1"/>
  <c r="AT483" i="1" a="1"/>
  <c r="AT483" i="1" s="1"/>
  <c r="AU483" i="1" a="1"/>
  <c r="AU483" i="1" s="1"/>
  <c r="AV483" i="1" a="1"/>
  <c r="AV483" i="1" s="1"/>
  <c r="AW483" i="1" a="1"/>
  <c r="AW483" i="1" s="1"/>
  <c r="AX483" i="1" a="1"/>
  <c r="AX483" i="1" s="1"/>
  <c r="AY483" i="1" a="1"/>
  <c r="AY483" i="1" s="1"/>
  <c r="AZ483" i="1" a="1"/>
  <c r="AZ483" i="1" s="1"/>
  <c r="BA483" i="1" a="1"/>
  <c r="BA483" i="1" s="1"/>
  <c r="BB483" i="1" a="1"/>
  <c r="BB483" i="1" s="1"/>
  <c r="BC483" i="1" a="1"/>
  <c r="BC483" i="1" s="1"/>
  <c r="BD483" i="1" a="1"/>
  <c r="BD483" i="1" s="1"/>
  <c r="BE483" i="1" a="1"/>
  <c r="BE483" i="1"/>
  <c r="H484" i="1" a="1"/>
  <c r="H484" i="1" s="1"/>
  <c r="I484" i="1" a="1"/>
  <c r="I484" i="1" s="1"/>
  <c r="J484" i="1" a="1"/>
  <c r="J484" i="1" s="1"/>
  <c r="K484" i="1" a="1"/>
  <c r="K484" i="1" s="1"/>
  <c r="L484" i="1" a="1"/>
  <c r="L484" i="1" s="1"/>
  <c r="M484" i="1" a="1"/>
  <c r="M484" i="1" s="1"/>
  <c r="N484" i="1" a="1"/>
  <c r="N484" i="1"/>
  <c r="O484" i="1" a="1"/>
  <c r="O484" i="1"/>
  <c r="P484" i="1" a="1"/>
  <c r="P484" i="1" s="1"/>
  <c r="Q484" i="1" a="1"/>
  <c r="Q484" i="1"/>
  <c r="R484" i="1" a="1"/>
  <c r="R484" i="1"/>
  <c r="S484" i="1" a="1"/>
  <c r="S484" i="1"/>
  <c r="T484" i="1" a="1"/>
  <c r="T484" i="1" s="1"/>
  <c r="U484" i="1" a="1"/>
  <c r="U484" i="1"/>
  <c r="V484" i="1" a="1"/>
  <c r="V484" i="1"/>
  <c r="W484" i="1" a="1"/>
  <c r="W484" i="1"/>
  <c r="X484" i="1" a="1"/>
  <c r="X484" i="1" s="1"/>
  <c r="Y484" i="1" a="1"/>
  <c r="Y484" i="1"/>
  <c r="Z484" i="1" a="1"/>
  <c r="Z484" i="1" s="1"/>
  <c r="AA484" i="1" a="1"/>
  <c r="AA484" i="1"/>
  <c r="AB484" i="1" a="1"/>
  <c r="AB484" i="1" s="1"/>
  <c r="AC484" i="1" a="1"/>
  <c r="AC484" i="1"/>
  <c r="AD484" i="1" a="1"/>
  <c r="AD484" i="1" s="1"/>
  <c r="AE484" i="1" a="1"/>
  <c r="AE484" i="1"/>
  <c r="AF484" i="1" a="1"/>
  <c r="AF484" i="1" s="1"/>
  <c r="AG484" i="1" a="1"/>
  <c r="AG484" i="1"/>
  <c r="AH484" i="1" a="1"/>
  <c r="AH484" i="1" s="1"/>
  <c r="AI484" i="1" a="1"/>
  <c r="AI484" i="1"/>
  <c r="AJ484" i="1" a="1"/>
  <c r="AJ484" i="1" s="1"/>
  <c r="AK484" i="1" a="1"/>
  <c r="AK484" i="1"/>
  <c r="AL484" i="1" a="1"/>
  <c r="AL484" i="1" s="1"/>
  <c r="AM484" i="1" a="1"/>
  <c r="AM484" i="1"/>
  <c r="AN484" i="1" a="1"/>
  <c r="AN484" i="1" s="1"/>
  <c r="AO484" i="1" a="1"/>
  <c r="AO484" i="1" s="1"/>
  <c r="AP484" i="1" a="1"/>
  <c r="AP484" i="1" s="1"/>
  <c r="AQ484" i="1" a="1"/>
  <c r="AQ484" i="1"/>
  <c r="AR484" i="1" a="1"/>
  <c r="AR484" i="1" s="1"/>
  <c r="AS484" i="1" a="1"/>
  <c r="AS484" i="1" s="1"/>
  <c r="AT484" i="1" a="1"/>
  <c r="AT484" i="1" s="1"/>
  <c r="AU484" i="1" a="1"/>
  <c r="AU484" i="1"/>
  <c r="AV484" i="1" a="1"/>
  <c r="AV484" i="1" s="1"/>
  <c r="AW484" i="1" a="1"/>
  <c r="AW484" i="1" s="1"/>
  <c r="AX484" i="1" a="1"/>
  <c r="AX484" i="1" s="1"/>
  <c r="AY484" i="1" a="1"/>
  <c r="AY484" i="1"/>
  <c r="AZ484" i="1" a="1"/>
  <c r="AZ484" i="1" s="1"/>
  <c r="BA484" i="1" a="1"/>
  <c r="BA484" i="1" s="1"/>
  <c r="BB484" i="1" a="1"/>
  <c r="BB484" i="1" s="1"/>
  <c r="BC484" i="1" a="1"/>
  <c r="BC484" i="1"/>
  <c r="BD484" i="1" a="1"/>
  <c r="BD484" i="1" s="1"/>
  <c r="BE484" i="1" a="1"/>
  <c r="BE484" i="1" s="1"/>
  <c r="H485" i="1" a="1"/>
  <c r="H485" i="1" s="1"/>
  <c r="I485" i="1" a="1"/>
  <c r="I485" i="1"/>
  <c r="J485" i="1" a="1"/>
  <c r="J485" i="1" s="1"/>
  <c r="K485" i="1" a="1"/>
  <c r="K485" i="1" s="1"/>
  <c r="L485" i="1" a="1"/>
  <c r="L485" i="1" s="1"/>
  <c r="M485" i="1" a="1"/>
  <c r="M485" i="1"/>
  <c r="N485" i="1" a="1"/>
  <c r="N485" i="1" s="1"/>
  <c r="O485" i="1" a="1"/>
  <c r="O485" i="1" s="1"/>
  <c r="P485" i="1" a="1"/>
  <c r="P485" i="1" s="1"/>
  <c r="Q485" i="1" a="1"/>
  <c r="Q485" i="1"/>
  <c r="R485" i="1" a="1"/>
  <c r="R485" i="1" s="1"/>
  <c r="S485" i="1" a="1"/>
  <c r="S485" i="1" s="1"/>
  <c r="T485" i="1" a="1"/>
  <c r="T485" i="1" s="1"/>
  <c r="U485" i="1" a="1"/>
  <c r="U485" i="1"/>
  <c r="V485" i="1" a="1"/>
  <c r="V485" i="1" s="1"/>
  <c r="W485" i="1" a="1"/>
  <c r="W485" i="1" s="1"/>
  <c r="X485" i="1" a="1"/>
  <c r="X485" i="1" s="1"/>
  <c r="Y485" i="1" a="1"/>
  <c r="Y485" i="1"/>
  <c r="Z485" i="1" a="1"/>
  <c r="Z485" i="1" s="1"/>
  <c r="AA485" i="1" a="1"/>
  <c r="AA485" i="1" s="1"/>
  <c r="AB485" i="1" a="1"/>
  <c r="AB485" i="1" s="1"/>
  <c r="AC485" i="1" a="1"/>
  <c r="AC485" i="1"/>
  <c r="AD485" i="1" a="1"/>
  <c r="AD485" i="1" s="1"/>
  <c r="AE485" i="1" a="1"/>
  <c r="AE485" i="1" s="1"/>
  <c r="AF485" i="1" a="1"/>
  <c r="AF485" i="1" s="1"/>
  <c r="AG485" i="1" a="1"/>
  <c r="AG485" i="1"/>
  <c r="AH485" i="1" a="1"/>
  <c r="AH485" i="1" s="1"/>
  <c r="AI485" i="1" a="1"/>
  <c r="AI485" i="1" s="1"/>
  <c r="AJ485" i="1" a="1"/>
  <c r="AJ485" i="1" s="1"/>
  <c r="AK485" i="1" a="1"/>
  <c r="AK485" i="1"/>
  <c r="AL485" i="1" a="1"/>
  <c r="AL485" i="1" s="1"/>
  <c r="AM485" i="1" a="1"/>
  <c r="AM485" i="1" s="1"/>
  <c r="AN485" i="1" a="1"/>
  <c r="AN485" i="1" s="1"/>
  <c r="AO485" i="1" a="1"/>
  <c r="AO485" i="1"/>
  <c r="AP485" i="1" a="1"/>
  <c r="AP485" i="1" s="1"/>
  <c r="AQ485" i="1" a="1"/>
  <c r="AQ485" i="1" s="1"/>
  <c r="AR485" i="1" a="1"/>
  <c r="AR485" i="1" s="1"/>
  <c r="AS485" i="1" a="1"/>
  <c r="AS485" i="1"/>
  <c r="AT485" i="1" a="1"/>
  <c r="AT485" i="1" s="1"/>
  <c r="AU485" i="1" a="1"/>
  <c r="AU485" i="1" s="1"/>
  <c r="AV485" i="1" a="1"/>
  <c r="AV485" i="1" s="1"/>
  <c r="AW485" i="1" a="1"/>
  <c r="AW485" i="1"/>
  <c r="AX485" i="1" a="1"/>
  <c r="AX485" i="1" s="1"/>
  <c r="AY485" i="1" a="1"/>
  <c r="AY485" i="1" s="1"/>
  <c r="AZ485" i="1" a="1"/>
  <c r="AZ485" i="1" s="1"/>
  <c r="BA485" i="1" a="1"/>
  <c r="BA485" i="1"/>
  <c r="BB485" i="1" a="1"/>
  <c r="BB485" i="1" s="1"/>
  <c r="BC485" i="1" a="1"/>
  <c r="BC485" i="1" s="1"/>
  <c r="BD485" i="1" a="1"/>
  <c r="BD485" i="1" s="1"/>
  <c r="BE485" i="1" a="1"/>
  <c r="BE485" i="1"/>
  <c r="H486" i="1" a="1"/>
  <c r="H486" i="1" s="1"/>
  <c r="I486" i="1" a="1"/>
  <c r="I486" i="1" s="1"/>
  <c r="J486" i="1" a="1"/>
  <c r="J486" i="1" s="1"/>
  <c r="K486" i="1" a="1"/>
  <c r="K486" i="1"/>
  <c r="L486" i="1" a="1"/>
  <c r="L486" i="1" s="1"/>
  <c r="M486" i="1" a="1"/>
  <c r="M486" i="1" s="1"/>
  <c r="N486" i="1" a="1"/>
  <c r="N486" i="1" s="1"/>
  <c r="O486" i="1" a="1"/>
  <c r="O486" i="1"/>
  <c r="P486" i="1" a="1"/>
  <c r="P486" i="1" s="1"/>
  <c r="Q486" i="1" a="1"/>
  <c r="Q486" i="1" s="1"/>
  <c r="R486" i="1" a="1"/>
  <c r="R486" i="1" s="1"/>
  <c r="S486" i="1" a="1"/>
  <c r="S486" i="1"/>
  <c r="T486" i="1" a="1"/>
  <c r="T486" i="1" s="1"/>
  <c r="U486" i="1" a="1"/>
  <c r="U486" i="1" s="1"/>
  <c r="V486" i="1" a="1"/>
  <c r="V486" i="1" s="1"/>
  <c r="W486" i="1" a="1"/>
  <c r="W486" i="1"/>
  <c r="X486" i="1" a="1"/>
  <c r="X486" i="1" s="1"/>
  <c r="Y486" i="1" a="1"/>
  <c r="Y486" i="1" s="1"/>
  <c r="Z486" i="1" a="1"/>
  <c r="Z486" i="1" s="1"/>
  <c r="AA486" i="1" a="1"/>
  <c r="AA486" i="1"/>
  <c r="AB486" i="1" a="1"/>
  <c r="AB486" i="1" s="1"/>
  <c r="AC486" i="1" a="1"/>
  <c r="AC486" i="1" s="1"/>
  <c r="AD486" i="1" a="1"/>
  <c r="AD486" i="1" s="1"/>
  <c r="AE486" i="1" a="1"/>
  <c r="AE486" i="1"/>
  <c r="AF486" i="1" a="1"/>
  <c r="AF486" i="1" s="1"/>
  <c r="AG486" i="1" a="1"/>
  <c r="AG486" i="1" s="1"/>
  <c r="AH486" i="1" a="1"/>
  <c r="AH486" i="1" s="1"/>
  <c r="AI486" i="1" a="1"/>
  <c r="AI486" i="1"/>
  <c r="AJ486" i="1" a="1"/>
  <c r="AJ486" i="1" s="1"/>
  <c r="AK486" i="1" a="1"/>
  <c r="AK486" i="1" s="1"/>
  <c r="AL486" i="1" a="1"/>
  <c r="AL486" i="1" s="1"/>
  <c r="AM486" i="1" a="1"/>
  <c r="AM486" i="1"/>
  <c r="AN486" i="1" a="1"/>
  <c r="AN486" i="1" s="1"/>
  <c r="AO486" i="1" a="1"/>
  <c r="AO486" i="1" s="1"/>
  <c r="AP486" i="1" a="1"/>
  <c r="AP486" i="1" s="1"/>
  <c r="AQ486" i="1" a="1"/>
  <c r="AQ486" i="1"/>
  <c r="AR486" i="1" a="1"/>
  <c r="AR486" i="1" s="1"/>
  <c r="AS486" i="1" a="1"/>
  <c r="AS486" i="1" s="1"/>
  <c r="AT486" i="1" a="1"/>
  <c r="AT486" i="1" s="1"/>
  <c r="AU486" i="1" a="1"/>
  <c r="AU486" i="1"/>
  <c r="AV486" i="1" a="1"/>
  <c r="AV486" i="1" s="1"/>
  <c r="AW486" i="1" a="1"/>
  <c r="AW486" i="1" s="1"/>
  <c r="AX486" i="1" a="1"/>
  <c r="AX486" i="1" s="1"/>
  <c r="AY486" i="1" a="1"/>
  <c r="AY486" i="1"/>
  <c r="AZ486" i="1" a="1"/>
  <c r="AZ486" i="1" s="1"/>
  <c r="BA486" i="1" a="1"/>
  <c r="BA486" i="1" s="1"/>
  <c r="BB486" i="1" a="1"/>
  <c r="BB486" i="1" s="1"/>
  <c r="BC486" i="1" a="1"/>
  <c r="BC486" i="1"/>
  <c r="BD486" i="1" a="1"/>
  <c r="BD486" i="1" s="1"/>
  <c r="BE486" i="1" a="1"/>
  <c r="BE486" i="1" s="1"/>
  <c r="I463" i="1" a="1"/>
  <c r="I463" i="1" s="1"/>
  <c r="J463" i="1" a="1"/>
  <c r="J463" i="1" s="1"/>
  <c r="K463" i="1" a="1"/>
  <c r="K463" i="1" s="1"/>
  <c r="L463" i="1" a="1"/>
  <c r="L463" i="1"/>
  <c r="M463" i="1" a="1"/>
  <c r="M463" i="1" s="1"/>
  <c r="N463" i="1" a="1"/>
  <c r="N463" i="1" s="1"/>
  <c r="O463" i="1" a="1"/>
  <c r="O463" i="1" s="1"/>
  <c r="P463" i="1" a="1"/>
  <c r="P463" i="1"/>
  <c r="Q463" i="1" a="1"/>
  <c r="Q463" i="1" s="1"/>
  <c r="R463" i="1" a="1"/>
  <c r="R463" i="1" s="1"/>
  <c r="S463" i="1" a="1"/>
  <c r="S463" i="1" s="1"/>
  <c r="T463" i="1" a="1"/>
  <c r="T463" i="1"/>
  <c r="U463" i="1" a="1"/>
  <c r="U463" i="1" s="1"/>
  <c r="V463" i="1" a="1"/>
  <c r="V463" i="1" s="1"/>
  <c r="W463" i="1" a="1"/>
  <c r="W463" i="1" s="1"/>
  <c r="X463" i="1" a="1"/>
  <c r="X463" i="1"/>
  <c r="Y463" i="1" a="1"/>
  <c r="Y463" i="1" s="1"/>
  <c r="Z463" i="1" a="1"/>
  <c r="Z463" i="1" s="1"/>
  <c r="AA463" i="1" a="1"/>
  <c r="AA463" i="1" s="1"/>
  <c r="AB463" i="1" a="1"/>
  <c r="AB463" i="1"/>
  <c r="AC463" i="1" a="1"/>
  <c r="AC463" i="1" s="1"/>
  <c r="AD463" i="1" a="1"/>
  <c r="AD463" i="1" s="1"/>
  <c r="AE463" i="1" a="1"/>
  <c r="AE463" i="1" s="1"/>
  <c r="AF463" i="1" a="1"/>
  <c r="AF463" i="1"/>
  <c r="AG463" i="1" a="1"/>
  <c r="AG463" i="1" s="1"/>
  <c r="AH463" i="1" a="1"/>
  <c r="AH463" i="1" s="1"/>
  <c r="AI463" i="1" a="1"/>
  <c r="AI463" i="1" s="1"/>
  <c r="AJ463" i="1" a="1"/>
  <c r="AJ463" i="1"/>
  <c r="AK463" i="1" a="1"/>
  <c r="AK463" i="1" s="1"/>
  <c r="AL463" i="1" a="1"/>
  <c r="AL463" i="1" s="1"/>
  <c r="AM463" i="1" a="1"/>
  <c r="AM463" i="1" s="1"/>
  <c r="AN463" i="1" a="1"/>
  <c r="AN463" i="1"/>
  <c r="AO463" i="1" a="1"/>
  <c r="AO463" i="1" s="1"/>
  <c r="AP463" i="1" a="1"/>
  <c r="AP463" i="1" s="1"/>
  <c r="AQ463" i="1" a="1"/>
  <c r="AQ463" i="1" s="1"/>
  <c r="AR463" i="1" a="1"/>
  <c r="AR463" i="1"/>
  <c r="AS463" i="1" a="1"/>
  <c r="AS463" i="1" s="1"/>
  <c r="AT463" i="1" a="1"/>
  <c r="AT463" i="1" s="1"/>
  <c r="AU463" i="1" a="1"/>
  <c r="AU463" i="1" s="1"/>
  <c r="AV463" i="1" a="1"/>
  <c r="AV463" i="1"/>
  <c r="AW463" i="1" a="1"/>
  <c r="AW463" i="1" s="1"/>
  <c r="AX463" i="1" a="1"/>
  <c r="AX463" i="1" s="1"/>
  <c r="AY463" i="1" a="1"/>
  <c r="AY463" i="1" s="1"/>
  <c r="AZ463" i="1" a="1"/>
  <c r="AZ463" i="1"/>
  <c r="BA463" i="1" a="1"/>
  <c r="BA463" i="1" s="1"/>
  <c r="BB463" i="1" a="1"/>
  <c r="BB463" i="1" s="1"/>
  <c r="BC463" i="1" a="1"/>
  <c r="BC463" i="1" s="1"/>
  <c r="BD463" i="1" a="1"/>
  <c r="BD463" i="1"/>
  <c r="BE463" i="1" a="1"/>
  <c r="BE463" i="1" s="1"/>
  <c r="H463" i="1" a="1"/>
  <c r="H463" i="1" s="1"/>
  <c r="G488" i="1"/>
  <c r="G490" i="1" s="1"/>
  <c r="F488" i="1"/>
  <c r="F490" i="1" s="1"/>
  <c r="E488" i="1"/>
  <c r="E490" i="1" s="1"/>
  <c r="D488" i="1"/>
  <c r="D490" i="1" s="1"/>
  <c r="G487" i="1"/>
  <c r="G489" i="1" s="1"/>
  <c r="F487" i="1"/>
  <c r="F489" i="1" s="1"/>
  <c r="E487" i="1"/>
  <c r="E489" i="1" s="1"/>
  <c r="D487" i="1"/>
  <c r="D489" i="1" s="1"/>
  <c r="J4" i="1" a="1"/>
  <c r="N4" i="1" a="1"/>
  <c r="F4" i="1" a="1"/>
  <c r="B4" i="1" a="1"/>
  <c r="N4" i="1" l="1"/>
  <c r="J4" i="1"/>
  <c r="F4" i="1"/>
  <c r="B4" i="1"/>
  <c r="AY487" i="1"/>
  <c r="AY489" i="1" s="1"/>
  <c r="AY488" i="1"/>
  <c r="AY490" i="1" s="1"/>
  <c r="AR488" i="1"/>
  <c r="AR490" i="1" s="1"/>
  <c r="AR487" i="1"/>
  <c r="AR489" i="1" s="1"/>
  <c r="K487" i="1"/>
  <c r="K489" i="1" s="1"/>
  <c r="K488" i="1"/>
  <c r="K490" i="1" s="1"/>
  <c r="AQ487" i="1"/>
  <c r="AQ489" i="1" s="1"/>
  <c r="AQ488" i="1"/>
  <c r="AQ490" i="1" s="1"/>
  <c r="L488" i="1"/>
  <c r="L490" i="1" s="1"/>
  <c r="L487" i="1"/>
  <c r="L489" i="1" s="1"/>
  <c r="T488" i="1"/>
  <c r="T490" i="1" s="1"/>
  <c r="T487" i="1"/>
  <c r="T489" i="1" s="1"/>
  <c r="AB488" i="1"/>
  <c r="AB490" i="1" s="1"/>
  <c r="AB487" i="1"/>
  <c r="AB489" i="1" s="1"/>
  <c r="AJ488" i="1"/>
  <c r="AJ490" i="1" s="1"/>
  <c r="AJ487" i="1"/>
  <c r="AJ489" i="1" s="1"/>
  <c r="AZ488" i="1"/>
  <c r="AZ490" i="1" s="1"/>
  <c r="AZ487" i="1"/>
  <c r="AZ489" i="1" s="1"/>
  <c r="M488" i="1"/>
  <c r="M490" i="1" s="1"/>
  <c r="M487" i="1"/>
  <c r="M489" i="1" s="1"/>
  <c r="U488" i="1"/>
  <c r="U490" i="1" s="1"/>
  <c r="U487" i="1"/>
  <c r="U489" i="1" s="1"/>
  <c r="AC488" i="1"/>
  <c r="AC490" i="1" s="1"/>
  <c r="AC487" i="1"/>
  <c r="AC489" i="1" s="1"/>
  <c r="AK488" i="1"/>
  <c r="AK490" i="1" s="1"/>
  <c r="AK487" i="1"/>
  <c r="AK489" i="1" s="1"/>
  <c r="AS488" i="1"/>
  <c r="AS490" i="1" s="1"/>
  <c r="AS487" i="1"/>
  <c r="AS489" i="1" s="1"/>
  <c r="BA488" i="1"/>
  <c r="BA490" i="1" s="1"/>
  <c r="BA487" i="1"/>
  <c r="BA489" i="1" s="1"/>
  <c r="AA487" i="1"/>
  <c r="AA489" i="1" s="1"/>
  <c r="AA488" i="1"/>
  <c r="AA490" i="1" s="1"/>
  <c r="V487" i="1"/>
  <c r="V489" i="1" s="1"/>
  <c r="V488" i="1"/>
  <c r="V490" i="1" s="1"/>
  <c r="BB487" i="1"/>
  <c r="BB489" i="1" s="1"/>
  <c r="BB488" i="1"/>
  <c r="BB490" i="1" s="1"/>
  <c r="W487" i="1"/>
  <c r="W489" i="1" s="1"/>
  <c r="W488" i="1"/>
  <c r="W490" i="1" s="1"/>
  <c r="AM487" i="1"/>
  <c r="AM489" i="1" s="1"/>
  <c r="AM488" i="1"/>
  <c r="AM490" i="1" s="1"/>
  <c r="H487" i="1"/>
  <c r="H489" i="1" s="1"/>
  <c r="H488" i="1"/>
  <c r="H490" i="1" s="1"/>
  <c r="X487" i="1"/>
  <c r="X489" i="1" s="1"/>
  <c r="X488" i="1"/>
  <c r="X490" i="1" s="1"/>
  <c r="AF487" i="1"/>
  <c r="AF489" i="1" s="1"/>
  <c r="AF488" i="1"/>
  <c r="AF490" i="1" s="1"/>
  <c r="AN487" i="1"/>
  <c r="AN489" i="1" s="1"/>
  <c r="AN488" i="1"/>
  <c r="AN490" i="1" s="1"/>
  <c r="AV487" i="1"/>
  <c r="AV489" i="1" s="1"/>
  <c r="AV488" i="1"/>
  <c r="AV490" i="1" s="1"/>
  <c r="BD487" i="1"/>
  <c r="BD489" i="1" s="1"/>
  <c r="BD488" i="1"/>
  <c r="BD490" i="1" s="1"/>
  <c r="S487" i="1"/>
  <c r="S489" i="1" s="1"/>
  <c r="S488" i="1"/>
  <c r="S490" i="1" s="1"/>
  <c r="AD487" i="1"/>
  <c r="AD489" i="1" s="1"/>
  <c r="AD488" i="1"/>
  <c r="AD490" i="1" s="1"/>
  <c r="AT487" i="1"/>
  <c r="AT489" i="1" s="1"/>
  <c r="AT488" i="1"/>
  <c r="AT490" i="1" s="1"/>
  <c r="O487" i="1"/>
  <c r="O489" i="1" s="1"/>
  <c r="O488" i="1"/>
  <c r="O490" i="1" s="1"/>
  <c r="AU487" i="1"/>
  <c r="AU489" i="1" s="1"/>
  <c r="AU488" i="1"/>
  <c r="AU490" i="1" s="1"/>
  <c r="Y487" i="1"/>
  <c r="Y489" i="1" s="1"/>
  <c r="Y488" i="1"/>
  <c r="Y490" i="1" s="1"/>
  <c r="AO487" i="1"/>
  <c r="AO489" i="1" s="1"/>
  <c r="AO488" i="1"/>
  <c r="AO490" i="1" s="1"/>
  <c r="BE487" i="1"/>
  <c r="BE489" i="1" s="1"/>
  <c r="BE488" i="1"/>
  <c r="BE490" i="1" s="1"/>
  <c r="AI487" i="1"/>
  <c r="AI489" i="1" s="1"/>
  <c r="AI488" i="1"/>
  <c r="AI490" i="1" s="1"/>
  <c r="N487" i="1"/>
  <c r="N489" i="1" s="1"/>
  <c r="N488" i="1"/>
  <c r="N490" i="1" s="1"/>
  <c r="AL487" i="1"/>
  <c r="AL489" i="1" s="1"/>
  <c r="AL488" i="1"/>
  <c r="AL490" i="1" s="1"/>
  <c r="AE487" i="1"/>
  <c r="AE489" i="1" s="1"/>
  <c r="AE488" i="1"/>
  <c r="AE490" i="1" s="1"/>
  <c r="BC487" i="1"/>
  <c r="BC489" i="1" s="1"/>
  <c r="BC488" i="1"/>
  <c r="BC490" i="1" s="1"/>
  <c r="P487" i="1"/>
  <c r="P489" i="1" s="1"/>
  <c r="P488" i="1"/>
  <c r="P490" i="1" s="1"/>
  <c r="I487" i="1"/>
  <c r="I489" i="1" s="1"/>
  <c r="I488" i="1"/>
  <c r="I490" i="1" s="1"/>
  <c r="Q487" i="1"/>
  <c r="Q489" i="1" s="1"/>
  <c r="Q488" i="1"/>
  <c r="Q490" i="1" s="1"/>
  <c r="AG487" i="1"/>
  <c r="AG489" i="1" s="1"/>
  <c r="AG488" i="1"/>
  <c r="AG490" i="1" s="1"/>
  <c r="AW487" i="1"/>
  <c r="AW489" i="1" s="1"/>
  <c r="AW488" i="1"/>
  <c r="AW490" i="1" s="1"/>
  <c r="J487" i="1"/>
  <c r="J489" i="1" s="1"/>
  <c r="J488" i="1"/>
  <c r="J490" i="1" s="1"/>
  <c r="R487" i="1"/>
  <c r="R489" i="1" s="1"/>
  <c r="R488" i="1"/>
  <c r="R490" i="1" s="1"/>
  <c r="Z487" i="1"/>
  <c r="Z489" i="1" s="1"/>
  <c r="Z488" i="1"/>
  <c r="Z490" i="1" s="1"/>
  <c r="AH487" i="1"/>
  <c r="AH489" i="1" s="1"/>
  <c r="AH488" i="1"/>
  <c r="AH490" i="1" s="1"/>
  <c r="AP487" i="1"/>
  <c r="AP489" i="1" s="1"/>
  <c r="AP488" i="1"/>
  <c r="AP490" i="1" s="1"/>
  <c r="AX487" i="1"/>
  <c r="AX489" i="1" s="1"/>
  <c r="AX488" i="1"/>
  <c r="AX490" i="1" s="1"/>
  <c r="F434" i="1" l="1"/>
  <c r="F435" i="1"/>
  <c r="F436" i="1"/>
  <c r="F433" i="1"/>
  <c r="C410" i="1"/>
  <c r="C412" i="1" s="1"/>
  <c r="C409" i="1"/>
  <c r="C411" i="1" s="1"/>
  <c r="D409" i="1"/>
  <c r="D411" i="1" s="1"/>
  <c r="E409" i="1"/>
  <c r="E411" i="1" s="1"/>
  <c r="F409" i="1"/>
  <c r="F411" i="1" s="1"/>
  <c r="D410" i="1"/>
  <c r="D412" i="1" s="1"/>
  <c r="E410" i="1"/>
  <c r="E412" i="1" s="1"/>
  <c r="F410" i="1"/>
  <c r="F412" i="1" s="1"/>
  <c r="I421" i="1"/>
  <c r="F417" i="1"/>
  <c r="H387" i="1" s="1"/>
  <c r="E307" i="1"/>
  <c r="F307" i="1"/>
  <c r="G307" i="1"/>
  <c r="D307" i="1"/>
  <c r="I305" i="1"/>
  <c r="D306" i="1" s="1"/>
  <c r="I249" i="1"/>
  <c r="I294" i="1" s="1"/>
  <c r="F167" i="1"/>
  <c r="H195" i="1" s="1"/>
  <c r="H386" i="1" l="1"/>
  <c r="H408" i="1"/>
  <c r="G422" i="1"/>
  <c r="D66" i="1"/>
  <c r="H66" i="1"/>
  <c r="L66" i="1"/>
  <c r="P66" i="1"/>
  <c r="H166" i="1"/>
  <c r="H173" i="1"/>
  <c r="D270" i="1"/>
  <c r="H402" i="1"/>
  <c r="H401" i="1"/>
  <c r="H394" i="1"/>
  <c r="F422" i="1"/>
  <c r="H393" i="1"/>
  <c r="E422" i="1"/>
  <c r="H407" i="1"/>
  <c r="H391" i="1"/>
  <c r="H398" i="1"/>
  <c r="H397" i="1"/>
  <c r="H389" i="1"/>
  <c r="H392" i="1"/>
  <c r="H399" i="1"/>
  <c r="H406" i="1"/>
  <c r="H390" i="1"/>
  <c r="H405" i="1"/>
  <c r="H404" i="1"/>
  <c r="H396" i="1"/>
  <c r="H388" i="1"/>
  <c r="H400" i="1"/>
  <c r="H403" i="1"/>
  <c r="H395" i="1"/>
  <c r="E306" i="1"/>
  <c r="G306" i="1"/>
  <c r="F306" i="1"/>
  <c r="I270" i="1"/>
  <c r="D294" i="1"/>
  <c r="H201" i="1"/>
  <c r="H169" i="1"/>
  <c r="H187" i="1"/>
  <c r="H185" i="1"/>
  <c r="H179" i="1"/>
  <c r="H177" i="1"/>
  <c r="H171" i="1"/>
  <c r="H197" i="1"/>
  <c r="H186" i="1"/>
  <c r="H178" i="1"/>
  <c r="H170" i="1"/>
  <c r="H196" i="1"/>
  <c r="H184" i="1"/>
  <c r="H176" i="1"/>
  <c r="H168" i="1"/>
  <c r="H194" i="1"/>
  <c r="H183" i="1"/>
  <c r="H175" i="1"/>
  <c r="H167" i="1"/>
  <c r="H193" i="1"/>
  <c r="H190" i="1"/>
  <c r="H182" i="1"/>
  <c r="H174" i="1"/>
  <c r="H200" i="1"/>
  <c r="H192" i="1"/>
  <c r="H189" i="1"/>
  <c r="H181" i="1"/>
  <c r="H199" i="1"/>
  <c r="H191" i="1"/>
  <c r="H188" i="1"/>
  <c r="H180" i="1"/>
  <c r="H172" i="1"/>
  <c r="H198" i="1"/>
  <c r="H409" i="1" l="1"/>
  <c r="H411" i="1" s="1"/>
  <c r="H410" i="1"/>
  <c r="H412" i="1" s="1"/>
  <c r="H203" i="1"/>
  <c r="H205" i="1" s="1"/>
  <c r="D182" i="1" s="1"/>
  <c r="H202" i="1"/>
  <c r="H204" i="1" s="1"/>
  <c r="D181" i="1" s="1"/>
  <c r="C176" i="1" l="1"/>
  <c r="G128" i="1" l="1"/>
  <c r="G130" i="1" s="1"/>
  <c r="F128" i="1"/>
  <c r="F130" i="1" s="1"/>
  <c r="E128" i="1"/>
  <c r="E130" i="1" s="1"/>
  <c r="D128" i="1"/>
  <c r="D130" i="1" s="1"/>
  <c r="G127" i="1"/>
  <c r="G129" i="1" s="1"/>
  <c r="F127" i="1"/>
  <c r="F129" i="1" s="1"/>
  <c r="E127" i="1"/>
  <c r="E129" i="1" s="1"/>
  <c r="D127" i="1"/>
  <c r="D129" i="1" s="1"/>
  <c r="BE126" i="1" a="1"/>
  <c r="BE126" i="1" s="1"/>
  <c r="BD126" i="1" a="1"/>
  <c r="BD126" i="1" s="1"/>
  <c r="BC126" i="1" a="1"/>
  <c r="BC126" i="1" s="1"/>
  <c r="BB126" i="1" a="1"/>
  <c r="BB126" i="1" s="1"/>
  <c r="BA126" i="1" a="1"/>
  <c r="BA126" i="1" s="1"/>
  <c r="AZ126" i="1" a="1"/>
  <c r="AZ126" i="1" s="1"/>
  <c r="AY126" i="1" a="1"/>
  <c r="AY126" i="1" s="1"/>
  <c r="AX126" i="1" a="1"/>
  <c r="AX126" i="1" s="1"/>
  <c r="AW126" i="1" a="1"/>
  <c r="AW126" i="1" s="1"/>
  <c r="AV126" i="1" a="1"/>
  <c r="AV126" i="1" s="1"/>
  <c r="AU126" i="1" a="1"/>
  <c r="AU126" i="1" s="1"/>
  <c r="AT126" i="1" a="1"/>
  <c r="AT126" i="1" s="1"/>
  <c r="AS126" i="1" a="1"/>
  <c r="AS126" i="1" s="1"/>
  <c r="AR126" i="1" a="1"/>
  <c r="AR126" i="1" s="1"/>
  <c r="AQ126" i="1" a="1"/>
  <c r="AQ126" i="1" s="1"/>
  <c r="AP126" i="1" a="1"/>
  <c r="AP126" i="1" s="1"/>
  <c r="AO126" i="1" a="1"/>
  <c r="AO126" i="1" s="1"/>
  <c r="AN126" i="1" a="1"/>
  <c r="AN126" i="1" s="1"/>
  <c r="AM126" i="1" a="1"/>
  <c r="AM126" i="1" s="1"/>
  <c r="AL126" i="1" a="1"/>
  <c r="AL126" i="1" s="1"/>
  <c r="AK126" i="1" a="1"/>
  <c r="AK126" i="1" s="1"/>
  <c r="AJ126" i="1" a="1"/>
  <c r="AJ126" i="1" s="1"/>
  <c r="AI126" i="1" a="1"/>
  <c r="AI126" i="1" s="1"/>
  <c r="AH126" i="1" a="1"/>
  <c r="AH126" i="1" s="1"/>
  <c r="AG126" i="1" a="1"/>
  <c r="AG126" i="1" s="1"/>
  <c r="AF126" i="1" a="1"/>
  <c r="AF126" i="1" s="1"/>
  <c r="AE126" i="1" a="1"/>
  <c r="AE126" i="1" s="1"/>
  <c r="AD126" i="1" a="1"/>
  <c r="AD126" i="1" s="1"/>
  <c r="AC126" i="1" a="1"/>
  <c r="AC126" i="1" s="1"/>
  <c r="AB126" i="1" a="1"/>
  <c r="AB126" i="1" s="1"/>
  <c r="AA126" i="1" a="1"/>
  <c r="AA126" i="1" s="1"/>
  <c r="Z126" i="1" a="1"/>
  <c r="Z126" i="1" s="1"/>
  <c r="Y126" i="1" a="1"/>
  <c r="Y126" i="1" s="1"/>
  <c r="X126" i="1" a="1"/>
  <c r="X126" i="1" s="1"/>
  <c r="W126" i="1" a="1"/>
  <c r="W126" i="1" s="1"/>
  <c r="V126" i="1" a="1"/>
  <c r="V126" i="1" s="1"/>
  <c r="U126" i="1" a="1"/>
  <c r="U126" i="1" s="1"/>
  <c r="T126" i="1" a="1"/>
  <c r="T126" i="1" s="1"/>
  <c r="S126" i="1" a="1"/>
  <c r="S126" i="1" s="1"/>
  <c r="R126" i="1" a="1"/>
  <c r="R126" i="1" s="1"/>
  <c r="Q126" i="1" a="1"/>
  <c r="Q126" i="1" s="1"/>
  <c r="P126" i="1" a="1"/>
  <c r="P126" i="1" s="1"/>
  <c r="O126" i="1" a="1"/>
  <c r="O126" i="1" s="1"/>
  <c r="N126" i="1" a="1"/>
  <c r="N126" i="1" s="1"/>
  <c r="M126" i="1" a="1"/>
  <c r="M126" i="1" s="1"/>
  <c r="L126" i="1" a="1"/>
  <c r="L126" i="1" s="1"/>
  <c r="K126" i="1" a="1"/>
  <c r="K126" i="1" s="1"/>
  <c r="J126" i="1" a="1"/>
  <c r="J126" i="1" s="1"/>
  <c r="I126" i="1" a="1"/>
  <c r="I126" i="1" s="1"/>
  <c r="H126" i="1" a="1"/>
  <c r="H126" i="1" s="1"/>
  <c r="BE125" i="1" a="1"/>
  <c r="BE125" i="1" s="1"/>
  <c r="BD125" i="1" a="1"/>
  <c r="BD125" i="1" s="1"/>
  <c r="BC125" i="1" a="1"/>
  <c r="BC125" i="1" s="1"/>
  <c r="BB125" i="1" a="1"/>
  <c r="BB125" i="1" s="1"/>
  <c r="BA125" i="1" a="1"/>
  <c r="BA125" i="1" s="1"/>
  <c r="AZ125" i="1" a="1"/>
  <c r="AZ125" i="1" s="1"/>
  <c r="AY125" i="1" a="1"/>
  <c r="AY125" i="1" s="1"/>
  <c r="AX125" i="1" a="1"/>
  <c r="AX125" i="1" s="1"/>
  <c r="AW125" i="1" a="1"/>
  <c r="AW125" i="1" s="1"/>
  <c r="AV125" i="1" a="1"/>
  <c r="AV125" i="1" s="1"/>
  <c r="AU125" i="1" a="1"/>
  <c r="AU125" i="1" s="1"/>
  <c r="AT125" i="1" a="1"/>
  <c r="AT125" i="1" s="1"/>
  <c r="AS125" i="1" a="1"/>
  <c r="AS125" i="1" s="1"/>
  <c r="AR125" i="1" a="1"/>
  <c r="AR125" i="1" s="1"/>
  <c r="AQ125" i="1" a="1"/>
  <c r="AQ125" i="1" s="1"/>
  <c r="AP125" i="1" a="1"/>
  <c r="AP125" i="1" s="1"/>
  <c r="AO125" i="1" a="1"/>
  <c r="AO125" i="1" s="1"/>
  <c r="AN125" i="1" a="1"/>
  <c r="AN125" i="1" s="1"/>
  <c r="AM125" i="1" a="1"/>
  <c r="AM125" i="1" s="1"/>
  <c r="AL125" i="1" a="1"/>
  <c r="AL125" i="1" s="1"/>
  <c r="AK125" i="1" a="1"/>
  <c r="AK125" i="1" s="1"/>
  <c r="AJ125" i="1" a="1"/>
  <c r="AJ125" i="1" s="1"/>
  <c r="AI125" i="1" a="1"/>
  <c r="AI125" i="1" s="1"/>
  <c r="AH125" i="1" a="1"/>
  <c r="AH125" i="1" s="1"/>
  <c r="AG125" i="1" a="1"/>
  <c r="AG125" i="1" s="1"/>
  <c r="AF125" i="1" a="1"/>
  <c r="AF125" i="1" s="1"/>
  <c r="AE125" i="1" a="1"/>
  <c r="AE125" i="1" s="1"/>
  <c r="AD125" i="1" a="1"/>
  <c r="AD125" i="1" s="1"/>
  <c r="AC125" i="1" a="1"/>
  <c r="AC125" i="1" s="1"/>
  <c r="AB125" i="1" a="1"/>
  <c r="AB125" i="1" s="1"/>
  <c r="AA125" i="1" a="1"/>
  <c r="AA125" i="1" s="1"/>
  <c r="Z125" i="1" a="1"/>
  <c r="Z125" i="1" s="1"/>
  <c r="Y125" i="1" a="1"/>
  <c r="Y125" i="1" s="1"/>
  <c r="X125" i="1" a="1"/>
  <c r="X125" i="1" s="1"/>
  <c r="W125" i="1" a="1"/>
  <c r="W125" i="1" s="1"/>
  <c r="V125" i="1" a="1"/>
  <c r="V125" i="1" s="1"/>
  <c r="U125" i="1" a="1"/>
  <c r="U125" i="1" s="1"/>
  <c r="T125" i="1" a="1"/>
  <c r="T125" i="1" s="1"/>
  <c r="S125" i="1" a="1"/>
  <c r="S125" i="1" s="1"/>
  <c r="R125" i="1" a="1"/>
  <c r="R125" i="1" s="1"/>
  <c r="Q125" i="1" a="1"/>
  <c r="Q125" i="1" s="1"/>
  <c r="P125" i="1" a="1"/>
  <c r="P125" i="1" s="1"/>
  <c r="O125" i="1" a="1"/>
  <c r="O125" i="1" s="1"/>
  <c r="N125" i="1" a="1"/>
  <c r="N125" i="1" s="1"/>
  <c r="M125" i="1" a="1"/>
  <c r="M125" i="1" s="1"/>
  <c r="L125" i="1" a="1"/>
  <c r="L125" i="1" s="1"/>
  <c r="K125" i="1" a="1"/>
  <c r="K125" i="1" s="1"/>
  <c r="J125" i="1" a="1"/>
  <c r="J125" i="1" s="1"/>
  <c r="I125" i="1" a="1"/>
  <c r="I125" i="1" s="1"/>
  <c r="H125" i="1" a="1"/>
  <c r="H125" i="1" s="1"/>
  <c r="BE124" i="1" a="1"/>
  <c r="BE124" i="1" s="1"/>
  <c r="BD124" i="1" a="1"/>
  <c r="BD124" i="1" s="1"/>
  <c r="BC124" i="1" a="1"/>
  <c r="BC124" i="1" s="1"/>
  <c r="BB124" i="1" a="1"/>
  <c r="BB124" i="1" s="1"/>
  <c r="BA124" i="1" a="1"/>
  <c r="BA124" i="1" s="1"/>
  <c r="AZ124" i="1" a="1"/>
  <c r="AZ124" i="1" s="1"/>
  <c r="AY124" i="1" a="1"/>
  <c r="AY124" i="1" s="1"/>
  <c r="AX124" i="1" a="1"/>
  <c r="AX124" i="1" s="1"/>
  <c r="AW124" i="1" a="1"/>
  <c r="AW124" i="1" s="1"/>
  <c r="AV124" i="1" a="1"/>
  <c r="AV124" i="1" s="1"/>
  <c r="AU124" i="1" a="1"/>
  <c r="AU124" i="1" s="1"/>
  <c r="AT124" i="1" a="1"/>
  <c r="AT124" i="1" s="1"/>
  <c r="AS124" i="1" a="1"/>
  <c r="AS124" i="1" s="1"/>
  <c r="AR124" i="1" a="1"/>
  <c r="AR124" i="1" s="1"/>
  <c r="AQ124" i="1" a="1"/>
  <c r="AQ124" i="1" s="1"/>
  <c r="AP124" i="1" a="1"/>
  <c r="AP124" i="1" s="1"/>
  <c r="AO124" i="1" a="1"/>
  <c r="AO124" i="1" s="1"/>
  <c r="AN124" i="1" a="1"/>
  <c r="AN124" i="1" s="1"/>
  <c r="AM124" i="1" a="1"/>
  <c r="AM124" i="1" s="1"/>
  <c r="AL124" i="1" a="1"/>
  <c r="AL124" i="1" s="1"/>
  <c r="AK124" i="1" a="1"/>
  <c r="AK124" i="1" s="1"/>
  <c r="AJ124" i="1" a="1"/>
  <c r="AJ124" i="1" s="1"/>
  <c r="AI124" i="1" a="1"/>
  <c r="AI124" i="1" s="1"/>
  <c r="AH124" i="1" a="1"/>
  <c r="AH124" i="1" s="1"/>
  <c r="AG124" i="1" a="1"/>
  <c r="AG124" i="1" s="1"/>
  <c r="AF124" i="1" a="1"/>
  <c r="AF124" i="1" s="1"/>
  <c r="AE124" i="1" a="1"/>
  <c r="AE124" i="1" s="1"/>
  <c r="AD124" i="1" a="1"/>
  <c r="AD124" i="1" s="1"/>
  <c r="AC124" i="1" a="1"/>
  <c r="AC124" i="1" s="1"/>
  <c r="AB124" i="1" a="1"/>
  <c r="AB124" i="1" s="1"/>
  <c r="AA124" i="1" a="1"/>
  <c r="AA124" i="1" s="1"/>
  <c r="Z124" i="1" a="1"/>
  <c r="Z124" i="1" s="1"/>
  <c r="Y124" i="1" a="1"/>
  <c r="Y124" i="1" s="1"/>
  <c r="X124" i="1" a="1"/>
  <c r="X124" i="1" s="1"/>
  <c r="W124" i="1" a="1"/>
  <c r="W124" i="1" s="1"/>
  <c r="V124" i="1" a="1"/>
  <c r="V124" i="1" s="1"/>
  <c r="U124" i="1" a="1"/>
  <c r="U124" i="1" s="1"/>
  <c r="T124" i="1" a="1"/>
  <c r="T124" i="1" s="1"/>
  <c r="S124" i="1" a="1"/>
  <c r="S124" i="1" s="1"/>
  <c r="R124" i="1" a="1"/>
  <c r="R124" i="1" s="1"/>
  <c r="Q124" i="1" a="1"/>
  <c r="Q124" i="1" s="1"/>
  <c r="P124" i="1" a="1"/>
  <c r="P124" i="1" s="1"/>
  <c r="O124" i="1" a="1"/>
  <c r="O124" i="1" s="1"/>
  <c r="N124" i="1" a="1"/>
  <c r="N124" i="1" s="1"/>
  <c r="M124" i="1" a="1"/>
  <c r="M124" i="1" s="1"/>
  <c r="L124" i="1" a="1"/>
  <c r="L124" i="1" s="1"/>
  <c r="K124" i="1" a="1"/>
  <c r="K124" i="1" s="1"/>
  <c r="J124" i="1" a="1"/>
  <c r="J124" i="1" s="1"/>
  <c r="I124" i="1" a="1"/>
  <c r="I124" i="1" s="1"/>
  <c r="H124" i="1" a="1"/>
  <c r="H124" i="1" s="1"/>
  <c r="BE123" i="1" a="1"/>
  <c r="BE123" i="1" s="1"/>
  <c r="BD123" i="1" a="1"/>
  <c r="BD123" i="1" s="1"/>
  <c r="BC123" i="1" a="1"/>
  <c r="BC123" i="1" s="1"/>
  <c r="BB123" i="1" a="1"/>
  <c r="BB123" i="1" s="1"/>
  <c r="BA123" i="1" a="1"/>
  <c r="BA123" i="1" s="1"/>
  <c r="AZ123" i="1" a="1"/>
  <c r="AZ123" i="1" s="1"/>
  <c r="AY123" i="1" a="1"/>
  <c r="AY123" i="1" s="1"/>
  <c r="AX123" i="1" a="1"/>
  <c r="AX123" i="1" s="1"/>
  <c r="AW123" i="1" a="1"/>
  <c r="AW123" i="1" s="1"/>
  <c r="AV123" i="1" a="1"/>
  <c r="AV123" i="1" s="1"/>
  <c r="AU123" i="1" a="1"/>
  <c r="AU123" i="1" s="1"/>
  <c r="AT123" i="1" a="1"/>
  <c r="AT123" i="1" s="1"/>
  <c r="AS123" i="1" a="1"/>
  <c r="AS123" i="1" s="1"/>
  <c r="AR123" i="1" a="1"/>
  <c r="AR123" i="1" s="1"/>
  <c r="AQ123" i="1" a="1"/>
  <c r="AQ123" i="1" s="1"/>
  <c r="AP123" i="1" a="1"/>
  <c r="AP123" i="1" s="1"/>
  <c r="AO123" i="1" a="1"/>
  <c r="AO123" i="1" s="1"/>
  <c r="AN123" i="1" a="1"/>
  <c r="AN123" i="1" s="1"/>
  <c r="AM123" i="1" a="1"/>
  <c r="AM123" i="1" s="1"/>
  <c r="AL123" i="1" a="1"/>
  <c r="AL123" i="1" s="1"/>
  <c r="AK123" i="1" a="1"/>
  <c r="AK123" i="1" s="1"/>
  <c r="AJ123" i="1" a="1"/>
  <c r="AJ123" i="1" s="1"/>
  <c r="AI123" i="1" a="1"/>
  <c r="AI123" i="1" s="1"/>
  <c r="AH123" i="1" a="1"/>
  <c r="AH123" i="1" s="1"/>
  <c r="AG123" i="1" a="1"/>
  <c r="AG123" i="1" s="1"/>
  <c r="AF123" i="1" a="1"/>
  <c r="AF123" i="1" s="1"/>
  <c r="AE123" i="1" a="1"/>
  <c r="AE123" i="1" s="1"/>
  <c r="AD123" i="1" a="1"/>
  <c r="AD123" i="1" s="1"/>
  <c r="AC123" i="1" a="1"/>
  <c r="AC123" i="1" s="1"/>
  <c r="AB123" i="1" a="1"/>
  <c r="AB123" i="1" s="1"/>
  <c r="AA123" i="1" a="1"/>
  <c r="AA123" i="1" s="1"/>
  <c r="Z123" i="1" a="1"/>
  <c r="Z123" i="1" s="1"/>
  <c r="Y123" i="1" a="1"/>
  <c r="Y123" i="1" s="1"/>
  <c r="X123" i="1" a="1"/>
  <c r="X123" i="1" s="1"/>
  <c r="W123" i="1" a="1"/>
  <c r="W123" i="1" s="1"/>
  <c r="V123" i="1" a="1"/>
  <c r="V123" i="1" s="1"/>
  <c r="U123" i="1" a="1"/>
  <c r="U123" i="1" s="1"/>
  <c r="T123" i="1" a="1"/>
  <c r="T123" i="1" s="1"/>
  <c r="S123" i="1" a="1"/>
  <c r="S123" i="1" s="1"/>
  <c r="R123" i="1" a="1"/>
  <c r="R123" i="1" s="1"/>
  <c r="Q123" i="1" a="1"/>
  <c r="Q123" i="1" s="1"/>
  <c r="P123" i="1" a="1"/>
  <c r="P123" i="1" s="1"/>
  <c r="O123" i="1" a="1"/>
  <c r="O123" i="1" s="1"/>
  <c r="N123" i="1" a="1"/>
  <c r="N123" i="1" s="1"/>
  <c r="M123" i="1" a="1"/>
  <c r="M123" i="1" s="1"/>
  <c r="L123" i="1" a="1"/>
  <c r="L123" i="1" s="1"/>
  <c r="K123" i="1" a="1"/>
  <c r="K123" i="1" s="1"/>
  <c r="J123" i="1" a="1"/>
  <c r="J123" i="1" s="1"/>
  <c r="I123" i="1" a="1"/>
  <c r="I123" i="1" s="1"/>
  <c r="H123" i="1" a="1"/>
  <c r="H123" i="1" s="1"/>
  <c r="BE122" i="1" a="1"/>
  <c r="BE122" i="1" s="1"/>
  <c r="BD122" i="1" a="1"/>
  <c r="BD122" i="1" s="1"/>
  <c r="BC122" i="1" a="1"/>
  <c r="BC122" i="1" s="1"/>
  <c r="BB122" i="1" a="1"/>
  <c r="BB122" i="1" s="1"/>
  <c r="BA122" i="1" a="1"/>
  <c r="BA122" i="1" s="1"/>
  <c r="AZ122" i="1" a="1"/>
  <c r="AZ122" i="1" s="1"/>
  <c r="AY122" i="1" a="1"/>
  <c r="AY122" i="1" s="1"/>
  <c r="AX122" i="1" a="1"/>
  <c r="AX122" i="1" s="1"/>
  <c r="AW122" i="1" a="1"/>
  <c r="AW122" i="1" s="1"/>
  <c r="AV122" i="1" a="1"/>
  <c r="AV122" i="1" s="1"/>
  <c r="AU122" i="1" a="1"/>
  <c r="AU122" i="1" s="1"/>
  <c r="AT122" i="1" a="1"/>
  <c r="AT122" i="1" s="1"/>
  <c r="AS122" i="1" a="1"/>
  <c r="AS122" i="1" s="1"/>
  <c r="AR122" i="1" a="1"/>
  <c r="AR122" i="1" s="1"/>
  <c r="AQ122" i="1" a="1"/>
  <c r="AQ122" i="1" s="1"/>
  <c r="AP122" i="1" a="1"/>
  <c r="AP122" i="1" s="1"/>
  <c r="AO122" i="1" a="1"/>
  <c r="AO122" i="1" s="1"/>
  <c r="AN122" i="1" a="1"/>
  <c r="AN122" i="1" s="1"/>
  <c r="AM122" i="1" a="1"/>
  <c r="AM122" i="1" s="1"/>
  <c r="AL122" i="1" a="1"/>
  <c r="AL122" i="1" s="1"/>
  <c r="AK122" i="1" a="1"/>
  <c r="AK122" i="1" s="1"/>
  <c r="AJ122" i="1" a="1"/>
  <c r="AJ122" i="1" s="1"/>
  <c r="AI122" i="1" a="1"/>
  <c r="AI122" i="1" s="1"/>
  <c r="AH122" i="1" a="1"/>
  <c r="AH122" i="1" s="1"/>
  <c r="AG122" i="1" a="1"/>
  <c r="AG122" i="1" s="1"/>
  <c r="AF122" i="1" a="1"/>
  <c r="AF122" i="1" s="1"/>
  <c r="AE122" i="1" a="1"/>
  <c r="AE122" i="1" s="1"/>
  <c r="AD122" i="1" a="1"/>
  <c r="AD122" i="1" s="1"/>
  <c r="AC122" i="1" a="1"/>
  <c r="AC122" i="1" s="1"/>
  <c r="AB122" i="1" a="1"/>
  <c r="AB122" i="1" s="1"/>
  <c r="AA122" i="1" a="1"/>
  <c r="AA122" i="1" s="1"/>
  <c r="Z122" i="1" a="1"/>
  <c r="Z122" i="1" s="1"/>
  <c r="Y122" i="1" a="1"/>
  <c r="Y122" i="1" s="1"/>
  <c r="X122" i="1" a="1"/>
  <c r="X122" i="1" s="1"/>
  <c r="W122" i="1" a="1"/>
  <c r="W122" i="1" s="1"/>
  <c r="V122" i="1" a="1"/>
  <c r="V122" i="1" s="1"/>
  <c r="U122" i="1" a="1"/>
  <c r="U122" i="1" s="1"/>
  <c r="T122" i="1" a="1"/>
  <c r="T122" i="1" s="1"/>
  <c r="S122" i="1" a="1"/>
  <c r="S122" i="1" s="1"/>
  <c r="R122" i="1" a="1"/>
  <c r="R122" i="1" s="1"/>
  <c r="Q122" i="1" a="1"/>
  <c r="Q122" i="1" s="1"/>
  <c r="P122" i="1" a="1"/>
  <c r="P122" i="1" s="1"/>
  <c r="O122" i="1" a="1"/>
  <c r="O122" i="1" s="1"/>
  <c r="N122" i="1" a="1"/>
  <c r="N122" i="1" s="1"/>
  <c r="M122" i="1" a="1"/>
  <c r="M122" i="1" s="1"/>
  <c r="L122" i="1" a="1"/>
  <c r="L122" i="1" s="1"/>
  <c r="K122" i="1" a="1"/>
  <c r="K122" i="1" s="1"/>
  <c r="J122" i="1" a="1"/>
  <c r="J122" i="1" s="1"/>
  <c r="I122" i="1" a="1"/>
  <c r="I122" i="1" s="1"/>
  <c r="H122" i="1" a="1"/>
  <c r="H122" i="1" s="1"/>
  <c r="BE121" i="1" a="1"/>
  <c r="BE121" i="1" s="1"/>
  <c r="BD121" i="1" a="1"/>
  <c r="BD121" i="1" s="1"/>
  <c r="BC121" i="1" a="1"/>
  <c r="BC121" i="1" s="1"/>
  <c r="BB121" i="1" a="1"/>
  <c r="BB121" i="1" s="1"/>
  <c r="BA121" i="1" a="1"/>
  <c r="BA121" i="1" s="1"/>
  <c r="AZ121" i="1" a="1"/>
  <c r="AZ121" i="1" s="1"/>
  <c r="AY121" i="1" a="1"/>
  <c r="AY121" i="1" s="1"/>
  <c r="AX121" i="1" a="1"/>
  <c r="AX121" i="1" s="1"/>
  <c r="AW121" i="1" a="1"/>
  <c r="AW121" i="1" s="1"/>
  <c r="AV121" i="1" a="1"/>
  <c r="AV121" i="1" s="1"/>
  <c r="AU121" i="1" a="1"/>
  <c r="AU121" i="1" s="1"/>
  <c r="AT121" i="1" a="1"/>
  <c r="AT121" i="1" s="1"/>
  <c r="AS121" i="1" a="1"/>
  <c r="AS121" i="1" s="1"/>
  <c r="AR121" i="1" a="1"/>
  <c r="AR121" i="1" s="1"/>
  <c r="AQ121" i="1" a="1"/>
  <c r="AQ121" i="1" s="1"/>
  <c r="AP121" i="1" a="1"/>
  <c r="AP121" i="1" s="1"/>
  <c r="AO121" i="1" a="1"/>
  <c r="AO121" i="1" s="1"/>
  <c r="AN121" i="1" a="1"/>
  <c r="AN121" i="1" s="1"/>
  <c r="AM121" i="1" a="1"/>
  <c r="AM121" i="1" s="1"/>
  <c r="AL121" i="1" a="1"/>
  <c r="AL121" i="1" s="1"/>
  <c r="AK121" i="1" a="1"/>
  <c r="AK121" i="1" s="1"/>
  <c r="AJ121" i="1" a="1"/>
  <c r="AJ121" i="1" s="1"/>
  <c r="AI121" i="1" a="1"/>
  <c r="AI121" i="1" s="1"/>
  <c r="AH121" i="1" a="1"/>
  <c r="AH121" i="1" s="1"/>
  <c r="AG121" i="1" a="1"/>
  <c r="AG121" i="1" s="1"/>
  <c r="AF121" i="1" a="1"/>
  <c r="AF121" i="1" s="1"/>
  <c r="AE121" i="1" a="1"/>
  <c r="AE121" i="1" s="1"/>
  <c r="AD121" i="1" a="1"/>
  <c r="AD121" i="1" s="1"/>
  <c r="AC121" i="1" a="1"/>
  <c r="AC121" i="1" s="1"/>
  <c r="AB121" i="1" a="1"/>
  <c r="AB121" i="1" s="1"/>
  <c r="AA121" i="1" a="1"/>
  <c r="AA121" i="1" s="1"/>
  <c r="Z121" i="1" a="1"/>
  <c r="Z121" i="1" s="1"/>
  <c r="Y121" i="1" a="1"/>
  <c r="Y121" i="1" s="1"/>
  <c r="X121" i="1" a="1"/>
  <c r="X121" i="1" s="1"/>
  <c r="W121" i="1" a="1"/>
  <c r="W121" i="1" s="1"/>
  <c r="V121" i="1" a="1"/>
  <c r="V121" i="1" s="1"/>
  <c r="U121" i="1" a="1"/>
  <c r="U121" i="1" s="1"/>
  <c r="T121" i="1" a="1"/>
  <c r="T121" i="1" s="1"/>
  <c r="S121" i="1" a="1"/>
  <c r="S121" i="1" s="1"/>
  <c r="R121" i="1" a="1"/>
  <c r="R121" i="1" s="1"/>
  <c r="Q121" i="1" a="1"/>
  <c r="Q121" i="1" s="1"/>
  <c r="P121" i="1" a="1"/>
  <c r="P121" i="1" s="1"/>
  <c r="O121" i="1" a="1"/>
  <c r="O121" i="1" s="1"/>
  <c r="N121" i="1" a="1"/>
  <c r="N121" i="1" s="1"/>
  <c r="M121" i="1" a="1"/>
  <c r="M121" i="1" s="1"/>
  <c r="L121" i="1" a="1"/>
  <c r="L121" i="1" s="1"/>
  <c r="K121" i="1" a="1"/>
  <c r="K121" i="1" s="1"/>
  <c r="J121" i="1" a="1"/>
  <c r="J121" i="1" s="1"/>
  <c r="I121" i="1" a="1"/>
  <c r="I121" i="1" s="1"/>
  <c r="H121" i="1" a="1"/>
  <c r="H121" i="1" s="1"/>
  <c r="BE120" i="1" a="1"/>
  <c r="BE120" i="1" s="1"/>
  <c r="BD120" i="1" a="1"/>
  <c r="BD120" i="1" s="1"/>
  <c r="BC120" i="1" a="1"/>
  <c r="BC120" i="1" s="1"/>
  <c r="BB120" i="1" a="1"/>
  <c r="BB120" i="1" s="1"/>
  <c r="BA120" i="1" a="1"/>
  <c r="BA120" i="1" s="1"/>
  <c r="AZ120" i="1" a="1"/>
  <c r="AZ120" i="1" s="1"/>
  <c r="AY120" i="1" a="1"/>
  <c r="AY120" i="1" s="1"/>
  <c r="AX120" i="1" a="1"/>
  <c r="AX120" i="1" s="1"/>
  <c r="AW120" i="1" a="1"/>
  <c r="AW120" i="1" s="1"/>
  <c r="AV120" i="1" a="1"/>
  <c r="AV120" i="1" s="1"/>
  <c r="AU120" i="1" a="1"/>
  <c r="AU120" i="1" s="1"/>
  <c r="AT120" i="1" a="1"/>
  <c r="AT120" i="1" s="1"/>
  <c r="AS120" i="1" a="1"/>
  <c r="AS120" i="1" s="1"/>
  <c r="AR120" i="1" a="1"/>
  <c r="AR120" i="1" s="1"/>
  <c r="AQ120" i="1" a="1"/>
  <c r="AQ120" i="1" s="1"/>
  <c r="AP120" i="1" a="1"/>
  <c r="AP120" i="1" s="1"/>
  <c r="AO120" i="1" a="1"/>
  <c r="AO120" i="1" s="1"/>
  <c r="AN120" i="1" a="1"/>
  <c r="AN120" i="1" s="1"/>
  <c r="AM120" i="1" a="1"/>
  <c r="AM120" i="1" s="1"/>
  <c r="AL120" i="1" a="1"/>
  <c r="AL120" i="1" s="1"/>
  <c r="AK120" i="1" a="1"/>
  <c r="AK120" i="1" s="1"/>
  <c r="AJ120" i="1" a="1"/>
  <c r="AJ120" i="1" s="1"/>
  <c r="AI120" i="1" a="1"/>
  <c r="AI120" i="1" s="1"/>
  <c r="AH120" i="1" a="1"/>
  <c r="AH120" i="1" s="1"/>
  <c r="AG120" i="1" a="1"/>
  <c r="AG120" i="1" s="1"/>
  <c r="AF120" i="1" a="1"/>
  <c r="AF120" i="1" s="1"/>
  <c r="AE120" i="1" a="1"/>
  <c r="AE120" i="1" s="1"/>
  <c r="AD120" i="1" a="1"/>
  <c r="AD120" i="1" s="1"/>
  <c r="AC120" i="1" a="1"/>
  <c r="AC120" i="1" s="1"/>
  <c r="AB120" i="1" a="1"/>
  <c r="AB120" i="1" s="1"/>
  <c r="AA120" i="1" a="1"/>
  <c r="AA120" i="1" s="1"/>
  <c r="Z120" i="1" a="1"/>
  <c r="Z120" i="1" s="1"/>
  <c r="Y120" i="1" a="1"/>
  <c r="Y120" i="1" s="1"/>
  <c r="X120" i="1" a="1"/>
  <c r="X120" i="1" s="1"/>
  <c r="W120" i="1" a="1"/>
  <c r="W120" i="1" s="1"/>
  <c r="V120" i="1" a="1"/>
  <c r="V120" i="1" s="1"/>
  <c r="U120" i="1" a="1"/>
  <c r="U120" i="1" s="1"/>
  <c r="T120" i="1" a="1"/>
  <c r="T120" i="1" s="1"/>
  <c r="S120" i="1" a="1"/>
  <c r="S120" i="1" s="1"/>
  <c r="R120" i="1" a="1"/>
  <c r="R120" i="1" s="1"/>
  <c r="Q120" i="1" a="1"/>
  <c r="Q120" i="1" s="1"/>
  <c r="P120" i="1" a="1"/>
  <c r="P120" i="1" s="1"/>
  <c r="O120" i="1" a="1"/>
  <c r="O120" i="1" s="1"/>
  <c r="N120" i="1" a="1"/>
  <c r="N120" i="1" s="1"/>
  <c r="M120" i="1" a="1"/>
  <c r="M120" i="1" s="1"/>
  <c r="L120" i="1" a="1"/>
  <c r="L120" i="1" s="1"/>
  <c r="K120" i="1" a="1"/>
  <c r="K120" i="1" s="1"/>
  <c r="J120" i="1" a="1"/>
  <c r="J120" i="1" s="1"/>
  <c r="I120" i="1" a="1"/>
  <c r="I120" i="1" s="1"/>
  <c r="H120" i="1" a="1"/>
  <c r="H120" i="1" s="1"/>
  <c r="BE119" i="1" a="1"/>
  <c r="BE119" i="1" s="1"/>
  <c r="BD119" i="1" a="1"/>
  <c r="BD119" i="1" s="1"/>
  <c r="BC119" i="1" a="1"/>
  <c r="BC119" i="1" s="1"/>
  <c r="BB119" i="1" a="1"/>
  <c r="BB119" i="1" s="1"/>
  <c r="BA119" i="1" a="1"/>
  <c r="BA119" i="1" s="1"/>
  <c r="AZ119" i="1" a="1"/>
  <c r="AZ119" i="1" s="1"/>
  <c r="AY119" i="1" a="1"/>
  <c r="AY119" i="1" s="1"/>
  <c r="AX119" i="1" a="1"/>
  <c r="AX119" i="1" s="1"/>
  <c r="AW119" i="1" a="1"/>
  <c r="AW119" i="1" s="1"/>
  <c r="AV119" i="1" a="1"/>
  <c r="AV119" i="1" s="1"/>
  <c r="AU119" i="1" a="1"/>
  <c r="AU119" i="1" s="1"/>
  <c r="AT119" i="1" a="1"/>
  <c r="AT119" i="1" s="1"/>
  <c r="AS119" i="1" a="1"/>
  <c r="AS119" i="1" s="1"/>
  <c r="AR119" i="1" a="1"/>
  <c r="AR119" i="1" s="1"/>
  <c r="AQ119" i="1" a="1"/>
  <c r="AQ119" i="1" s="1"/>
  <c r="AP119" i="1" a="1"/>
  <c r="AP119" i="1" s="1"/>
  <c r="AO119" i="1" a="1"/>
  <c r="AO119" i="1" s="1"/>
  <c r="AN119" i="1" a="1"/>
  <c r="AN119" i="1" s="1"/>
  <c r="AM119" i="1" a="1"/>
  <c r="AM119" i="1" s="1"/>
  <c r="AL119" i="1" a="1"/>
  <c r="AL119" i="1" s="1"/>
  <c r="AK119" i="1" a="1"/>
  <c r="AK119" i="1" s="1"/>
  <c r="AJ119" i="1" a="1"/>
  <c r="AJ119" i="1" s="1"/>
  <c r="AI119" i="1" a="1"/>
  <c r="AI119" i="1" s="1"/>
  <c r="AH119" i="1" a="1"/>
  <c r="AH119" i="1" s="1"/>
  <c r="AG119" i="1" a="1"/>
  <c r="AG119" i="1" s="1"/>
  <c r="AF119" i="1" a="1"/>
  <c r="AF119" i="1" s="1"/>
  <c r="AE119" i="1" a="1"/>
  <c r="AE119" i="1" s="1"/>
  <c r="AD119" i="1" a="1"/>
  <c r="AD119" i="1" s="1"/>
  <c r="AC119" i="1" a="1"/>
  <c r="AC119" i="1" s="1"/>
  <c r="AB119" i="1" a="1"/>
  <c r="AB119" i="1" s="1"/>
  <c r="AA119" i="1" a="1"/>
  <c r="AA119" i="1" s="1"/>
  <c r="Z119" i="1" a="1"/>
  <c r="Z119" i="1" s="1"/>
  <c r="Y119" i="1" a="1"/>
  <c r="Y119" i="1" s="1"/>
  <c r="X119" i="1" a="1"/>
  <c r="X119" i="1" s="1"/>
  <c r="W119" i="1" a="1"/>
  <c r="W119" i="1" s="1"/>
  <c r="V119" i="1" a="1"/>
  <c r="V119" i="1" s="1"/>
  <c r="U119" i="1" a="1"/>
  <c r="U119" i="1" s="1"/>
  <c r="T119" i="1" a="1"/>
  <c r="T119" i="1" s="1"/>
  <c r="S119" i="1" a="1"/>
  <c r="S119" i="1" s="1"/>
  <c r="R119" i="1" a="1"/>
  <c r="R119" i="1" s="1"/>
  <c r="Q119" i="1" a="1"/>
  <c r="Q119" i="1" s="1"/>
  <c r="P119" i="1" a="1"/>
  <c r="P119" i="1" s="1"/>
  <c r="O119" i="1" a="1"/>
  <c r="O119" i="1" s="1"/>
  <c r="N119" i="1" a="1"/>
  <c r="N119" i="1" s="1"/>
  <c r="M119" i="1" a="1"/>
  <c r="M119" i="1" s="1"/>
  <c r="L119" i="1" a="1"/>
  <c r="L119" i="1" s="1"/>
  <c r="K119" i="1" a="1"/>
  <c r="K119" i="1" s="1"/>
  <c r="J119" i="1" a="1"/>
  <c r="J119" i="1" s="1"/>
  <c r="I119" i="1" a="1"/>
  <c r="I119" i="1" s="1"/>
  <c r="H119" i="1" a="1"/>
  <c r="H119" i="1" s="1"/>
  <c r="BE118" i="1" a="1"/>
  <c r="BE118" i="1" s="1"/>
  <c r="BD118" i="1" a="1"/>
  <c r="BD118" i="1" s="1"/>
  <c r="BC118" i="1" a="1"/>
  <c r="BC118" i="1" s="1"/>
  <c r="BB118" i="1" a="1"/>
  <c r="BB118" i="1" s="1"/>
  <c r="BA118" i="1" a="1"/>
  <c r="BA118" i="1" s="1"/>
  <c r="AZ118" i="1" a="1"/>
  <c r="AZ118" i="1" s="1"/>
  <c r="AY118" i="1" a="1"/>
  <c r="AY118" i="1" s="1"/>
  <c r="AX118" i="1" a="1"/>
  <c r="AX118" i="1" s="1"/>
  <c r="AW118" i="1" a="1"/>
  <c r="AW118" i="1" s="1"/>
  <c r="AV118" i="1" a="1"/>
  <c r="AV118" i="1" s="1"/>
  <c r="AU118" i="1" a="1"/>
  <c r="AU118" i="1" s="1"/>
  <c r="AT118" i="1" a="1"/>
  <c r="AT118" i="1" s="1"/>
  <c r="AS118" i="1" a="1"/>
  <c r="AS118" i="1" s="1"/>
  <c r="AR118" i="1" a="1"/>
  <c r="AR118" i="1" s="1"/>
  <c r="AQ118" i="1" a="1"/>
  <c r="AQ118" i="1" s="1"/>
  <c r="AP118" i="1" a="1"/>
  <c r="AP118" i="1" s="1"/>
  <c r="AO118" i="1" a="1"/>
  <c r="AO118" i="1" s="1"/>
  <c r="AN118" i="1" a="1"/>
  <c r="AN118" i="1" s="1"/>
  <c r="AM118" i="1" a="1"/>
  <c r="AM118" i="1" s="1"/>
  <c r="AL118" i="1" a="1"/>
  <c r="AL118" i="1" s="1"/>
  <c r="AK118" i="1" a="1"/>
  <c r="AK118" i="1" s="1"/>
  <c r="AJ118" i="1" a="1"/>
  <c r="AJ118" i="1" s="1"/>
  <c r="AI118" i="1" a="1"/>
  <c r="AI118" i="1" s="1"/>
  <c r="AH118" i="1" a="1"/>
  <c r="AH118" i="1" s="1"/>
  <c r="AG118" i="1" a="1"/>
  <c r="AG118" i="1" s="1"/>
  <c r="AF118" i="1" a="1"/>
  <c r="AF118" i="1" s="1"/>
  <c r="AE118" i="1" a="1"/>
  <c r="AE118" i="1" s="1"/>
  <c r="AD118" i="1" a="1"/>
  <c r="AD118" i="1" s="1"/>
  <c r="AC118" i="1" a="1"/>
  <c r="AC118" i="1" s="1"/>
  <c r="AB118" i="1" a="1"/>
  <c r="AB118" i="1" s="1"/>
  <c r="AA118" i="1" a="1"/>
  <c r="AA118" i="1" s="1"/>
  <c r="Z118" i="1" a="1"/>
  <c r="Z118" i="1" s="1"/>
  <c r="Y118" i="1" a="1"/>
  <c r="Y118" i="1" s="1"/>
  <c r="X118" i="1" a="1"/>
  <c r="X118" i="1" s="1"/>
  <c r="W118" i="1" a="1"/>
  <c r="W118" i="1" s="1"/>
  <c r="V118" i="1" a="1"/>
  <c r="V118" i="1" s="1"/>
  <c r="U118" i="1" a="1"/>
  <c r="U118" i="1" s="1"/>
  <c r="T118" i="1" a="1"/>
  <c r="T118" i="1" s="1"/>
  <c r="S118" i="1" a="1"/>
  <c r="S118" i="1" s="1"/>
  <c r="R118" i="1" a="1"/>
  <c r="R118" i="1" s="1"/>
  <c r="Q118" i="1" a="1"/>
  <c r="Q118" i="1" s="1"/>
  <c r="P118" i="1" a="1"/>
  <c r="P118" i="1" s="1"/>
  <c r="O118" i="1" a="1"/>
  <c r="O118" i="1" s="1"/>
  <c r="N118" i="1" a="1"/>
  <c r="N118" i="1" s="1"/>
  <c r="M118" i="1" a="1"/>
  <c r="M118" i="1" s="1"/>
  <c r="L118" i="1" a="1"/>
  <c r="L118" i="1" s="1"/>
  <c r="K118" i="1" a="1"/>
  <c r="K118" i="1" s="1"/>
  <c r="J118" i="1" a="1"/>
  <c r="J118" i="1" s="1"/>
  <c r="I118" i="1" a="1"/>
  <c r="I118" i="1" s="1"/>
  <c r="H118" i="1" a="1"/>
  <c r="H118" i="1" s="1"/>
  <c r="BE117" i="1" a="1"/>
  <c r="BE117" i="1" s="1"/>
  <c r="BD117" i="1" a="1"/>
  <c r="BD117" i="1" s="1"/>
  <c r="BC117" i="1" a="1"/>
  <c r="BC117" i="1" s="1"/>
  <c r="BB117" i="1" a="1"/>
  <c r="BB117" i="1" s="1"/>
  <c r="BA117" i="1" a="1"/>
  <c r="BA117" i="1" s="1"/>
  <c r="AZ117" i="1" a="1"/>
  <c r="AZ117" i="1" s="1"/>
  <c r="AY117" i="1" a="1"/>
  <c r="AY117" i="1" s="1"/>
  <c r="AX117" i="1" a="1"/>
  <c r="AX117" i="1" s="1"/>
  <c r="AW117" i="1" a="1"/>
  <c r="AW117" i="1" s="1"/>
  <c r="AV117" i="1" a="1"/>
  <c r="AV117" i="1" s="1"/>
  <c r="AU117" i="1" a="1"/>
  <c r="AU117" i="1" s="1"/>
  <c r="AT117" i="1" a="1"/>
  <c r="AT117" i="1" s="1"/>
  <c r="AS117" i="1" a="1"/>
  <c r="AS117" i="1" s="1"/>
  <c r="AR117" i="1" a="1"/>
  <c r="AR117" i="1" s="1"/>
  <c r="AQ117" i="1" a="1"/>
  <c r="AQ117" i="1" s="1"/>
  <c r="AP117" i="1" a="1"/>
  <c r="AP117" i="1" s="1"/>
  <c r="AO117" i="1" a="1"/>
  <c r="AO117" i="1" s="1"/>
  <c r="AN117" i="1" a="1"/>
  <c r="AN117" i="1" s="1"/>
  <c r="AM117" i="1" a="1"/>
  <c r="AM117" i="1" s="1"/>
  <c r="AL117" i="1" a="1"/>
  <c r="AL117" i="1" s="1"/>
  <c r="AK117" i="1" a="1"/>
  <c r="AK117" i="1" s="1"/>
  <c r="AJ117" i="1" a="1"/>
  <c r="AJ117" i="1" s="1"/>
  <c r="AI117" i="1" a="1"/>
  <c r="AI117" i="1" s="1"/>
  <c r="AH117" i="1" a="1"/>
  <c r="AH117" i="1" s="1"/>
  <c r="AG117" i="1" a="1"/>
  <c r="AG117" i="1" s="1"/>
  <c r="AF117" i="1" a="1"/>
  <c r="AF117" i="1" s="1"/>
  <c r="AE117" i="1" a="1"/>
  <c r="AE117" i="1" s="1"/>
  <c r="AD117" i="1" a="1"/>
  <c r="AD117" i="1" s="1"/>
  <c r="AC117" i="1" a="1"/>
  <c r="AC117" i="1" s="1"/>
  <c r="AB117" i="1" a="1"/>
  <c r="AB117" i="1" s="1"/>
  <c r="AA117" i="1" a="1"/>
  <c r="AA117" i="1" s="1"/>
  <c r="Z117" i="1" a="1"/>
  <c r="Z117" i="1" s="1"/>
  <c r="Y117" i="1" a="1"/>
  <c r="Y117" i="1" s="1"/>
  <c r="X117" i="1" a="1"/>
  <c r="X117" i="1" s="1"/>
  <c r="W117" i="1" a="1"/>
  <c r="W117" i="1" s="1"/>
  <c r="V117" i="1" a="1"/>
  <c r="V117" i="1" s="1"/>
  <c r="U117" i="1" a="1"/>
  <c r="U117" i="1" s="1"/>
  <c r="T117" i="1" a="1"/>
  <c r="T117" i="1" s="1"/>
  <c r="S117" i="1" a="1"/>
  <c r="S117" i="1" s="1"/>
  <c r="R117" i="1" a="1"/>
  <c r="R117" i="1" s="1"/>
  <c r="Q117" i="1" a="1"/>
  <c r="Q117" i="1" s="1"/>
  <c r="P117" i="1" a="1"/>
  <c r="P117" i="1" s="1"/>
  <c r="O117" i="1" a="1"/>
  <c r="O117" i="1" s="1"/>
  <c r="N117" i="1" a="1"/>
  <c r="N117" i="1" s="1"/>
  <c r="M117" i="1" a="1"/>
  <c r="M117" i="1" s="1"/>
  <c r="L117" i="1" a="1"/>
  <c r="L117" i="1" s="1"/>
  <c r="K117" i="1" a="1"/>
  <c r="K117" i="1" s="1"/>
  <c r="J117" i="1" a="1"/>
  <c r="J117" i="1" s="1"/>
  <c r="I117" i="1" a="1"/>
  <c r="I117" i="1" s="1"/>
  <c r="H117" i="1" a="1"/>
  <c r="H117" i="1" s="1"/>
  <c r="BE116" i="1" a="1"/>
  <c r="BE116" i="1" s="1"/>
  <c r="BD116" i="1" a="1"/>
  <c r="BD116" i="1" s="1"/>
  <c r="BC116" i="1" a="1"/>
  <c r="BC116" i="1" s="1"/>
  <c r="BB116" i="1" a="1"/>
  <c r="BB116" i="1" s="1"/>
  <c r="BA116" i="1" a="1"/>
  <c r="BA116" i="1" s="1"/>
  <c r="AZ116" i="1" a="1"/>
  <c r="AZ116" i="1" s="1"/>
  <c r="AY116" i="1" a="1"/>
  <c r="AY116" i="1" s="1"/>
  <c r="AX116" i="1" a="1"/>
  <c r="AX116" i="1" s="1"/>
  <c r="AW116" i="1" a="1"/>
  <c r="AW116" i="1" s="1"/>
  <c r="AV116" i="1" a="1"/>
  <c r="AV116" i="1" s="1"/>
  <c r="AU116" i="1" a="1"/>
  <c r="AU116" i="1" s="1"/>
  <c r="AT116" i="1" a="1"/>
  <c r="AT116" i="1" s="1"/>
  <c r="AS116" i="1" a="1"/>
  <c r="AS116" i="1" s="1"/>
  <c r="AR116" i="1" a="1"/>
  <c r="AR116" i="1" s="1"/>
  <c r="AQ116" i="1" a="1"/>
  <c r="AQ116" i="1" s="1"/>
  <c r="AP116" i="1" a="1"/>
  <c r="AP116" i="1" s="1"/>
  <c r="AO116" i="1" a="1"/>
  <c r="AO116" i="1" s="1"/>
  <c r="AN116" i="1" a="1"/>
  <c r="AN116" i="1" s="1"/>
  <c r="AM116" i="1" a="1"/>
  <c r="AM116" i="1" s="1"/>
  <c r="AL116" i="1" a="1"/>
  <c r="AL116" i="1" s="1"/>
  <c r="AK116" i="1" a="1"/>
  <c r="AK116" i="1" s="1"/>
  <c r="AJ116" i="1" a="1"/>
  <c r="AJ116" i="1" s="1"/>
  <c r="AI116" i="1" a="1"/>
  <c r="AI116" i="1" s="1"/>
  <c r="AH116" i="1" a="1"/>
  <c r="AH116" i="1" s="1"/>
  <c r="AG116" i="1" a="1"/>
  <c r="AG116" i="1" s="1"/>
  <c r="AF116" i="1" a="1"/>
  <c r="AF116" i="1" s="1"/>
  <c r="AE116" i="1" a="1"/>
  <c r="AE116" i="1" s="1"/>
  <c r="AD116" i="1" a="1"/>
  <c r="AD116" i="1" s="1"/>
  <c r="AC116" i="1" a="1"/>
  <c r="AC116" i="1" s="1"/>
  <c r="AB116" i="1" a="1"/>
  <c r="AB116" i="1" s="1"/>
  <c r="AA116" i="1" a="1"/>
  <c r="AA116" i="1" s="1"/>
  <c r="Z116" i="1" a="1"/>
  <c r="Z116" i="1" s="1"/>
  <c r="Y116" i="1" a="1"/>
  <c r="Y116" i="1" s="1"/>
  <c r="X116" i="1" a="1"/>
  <c r="X116" i="1" s="1"/>
  <c r="W116" i="1" a="1"/>
  <c r="W116" i="1" s="1"/>
  <c r="V116" i="1" a="1"/>
  <c r="V116" i="1" s="1"/>
  <c r="U116" i="1" a="1"/>
  <c r="U116" i="1" s="1"/>
  <c r="T116" i="1" a="1"/>
  <c r="T116" i="1" s="1"/>
  <c r="S116" i="1" a="1"/>
  <c r="S116" i="1" s="1"/>
  <c r="R116" i="1" a="1"/>
  <c r="R116" i="1" s="1"/>
  <c r="Q116" i="1" a="1"/>
  <c r="Q116" i="1" s="1"/>
  <c r="P116" i="1" a="1"/>
  <c r="P116" i="1" s="1"/>
  <c r="O116" i="1" a="1"/>
  <c r="O116" i="1" s="1"/>
  <c r="N116" i="1" a="1"/>
  <c r="N116" i="1" s="1"/>
  <c r="M116" i="1" a="1"/>
  <c r="M116" i="1" s="1"/>
  <c r="L116" i="1" a="1"/>
  <c r="L116" i="1" s="1"/>
  <c r="K116" i="1" a="1"/>
  <c r="K116" i="1" s="1"/>
  <c r="J116" i="1" a="1"/>
  <c r="J116" i="1" s="1"/>
  <c r="I116" i="1" a="1"/>
  <c r="I116" i="1" s="1"/>
  <c r="H116" i="1" a="1"/>
  <c r="H116" i="1" s="1"/>
  <c r="BE115" i="1" a="1"/>
  <c r="BE115" i="1" s="1"/>
  <c r="BD115" i="1" a="1"/>
  <c r="BD115" i="1" s="1"/>
  <c r="BC115" i="1" a="1"/>
  <c r="BC115" i="1" s="1"/>
  <c r="BB115" i="1" a="1"/>
  <c r="BB115" i="1" s="1"/>
  <c r="BA115" i="1" a="1"/>
  <c r="BA115" i="1" s="1"/>
  <c r="AZ115" i="1" a="1"/>
  <c r="AZ115" i="1" s="1"/>
  <c r="AY115" i="1" a="1"/>
  <c r="AY115" i="1" s="1"/>
  <c r="AX115" i="1" a="1"/>
  <c r="AX115" i="1" s="1"/>
  <c r="AW115" i="1" a="1"/>
  <c r="AW115" i="1" s="1"/>
  <c r="AV115" i="1" a="1"/>
  <c r="AV115" i="1" s="1"/>
  <c r="AU115" i="1" a="1"/>
  <c r="AU115" i="1" s="1"/>
  <c r="AT115" i="1" a="1"/>
  <c r="AT115" i="1" s="1"/>
  <c r="AS115" i="1" a="1"/>
  <c r="AS115" i="1" s="1"/>
  <c r="AR115" i="1" a="1"/>
  <c r="AR115" i="1" s="1"/>
  <c r="AQ115" i="1" a="1"/>
  <c r="AQ115" i="1" s="1"/>
  <c r="AP115" i="1" a="1"/>
  <c r="AP115" i="1" s="1"/>
  <c r="AO115" i="1" a="1"/>
  <c r="AO115" i="1" s="1"/>
  <c r="AN115" i="1" a="1"/>
  <c r="AN115" i="1" s="1"/>
  <c r="AM115" i="1" a="1"/>
  <c r="AM115" i="1" s="1"/>
  <c r="AL115" i="1" a="1"/>
  <c r="AL115" i="1" s="1"/>
  <c r="AK115" i="1" a="1"/>
  <c r="AK115" i="1" s="1"/>
  <c r="AJ115" i="1" a="1"/>
  <c r="AJ115" i="1" s="1"/>
  <c r="AI115" i="1" a="1"/>
  <c r="AI115" i="1" s="1"/>
  <c r="AH115" i="1" a="1"/>
  <c r="AH115" i="1" s="1"/>
  <c r="AG115" i="1" a="1"/>
  <c r="AG115" i="1" s="1"/>
  <c r="AF115" i="1" a="1"/>
  <c r="AF115" i="1" s="1"/>
  <c r="AE115" i="1" a="1"/>
  <c r="AE115" i="1" s="1"/>
  <c r="AD115" i="1" a="1"/>
  <c r="AD115" i="1" s="1"/>
  <c r="AC115" i="1" a="1"/>
  <c r="AC115" i="1" s="1"/>
  <c r="AB115" i="1" a="1"/>
  <c r="AB115" i="1" s="1"/>
  <c r="AA115" i="1" a="1"/>
  <c r="AA115" i="1" s="1"/>
  <c r="Z115" i="1" a="1"/>
  <c r="Z115" i="1" s="1"/>
  <c r="Y115" i="1" a="1"/>
  <c r="Y115" i="1" s="1"/>
  <c r="X115" i="1" a="1"/>
  <c r="X115" i="1" s="1"/>
  <c r="W115" i="1" a="1"/>
  <c r="W115" i="1" s="1"/>
  <c r="V115" i="1" a="1"/>
  <c r="V115" i="1" s="1"/>
  <c r="U115" i="1" a="1"/>
  <c r="U115" i="1" s="1"/>
  <c r="T115" i="1" a="1"/>
  <c r="T115" i="1" s="1"/>
  <c r="S115" i="1" a="1"/>
  <c r="S115" i="1" s="1"/>
  <c r="R115" i="1" a="1"/>
  <c r="R115" i="1" s="1"/>
  <c r="Q115" i="1" a="1"/>
  <c r="Q115" i="1" s="1"/>
  <c r="P115" i="1" a="1"/>
  <c r="P115" i="1" s="1"/>
  <c r="O115" i="1" a="1"/>
  <c r="O115" i="1" s="1"/>
  <c r="N115" i="1" a="1"/>
  <c r="N115" i="1" s="1"/>
  <c r="M115" i="1" a="1"/>
  <c r="M115" i="1" s="1"/>
  <c r="L115" i="1" a="1"/>
  <c r="L115" i="1" s="1"/>
  <c r="K115" i="1" a="1"/>
  <c r="K115" i="1" s="1"/>
  <c r="J115" i="1" a="1"/>
  <c r="J115" i="1" s="1"/>
  <c r="I115" i="1" a="1"/>
  <c r="I115" i="1" s="1"/>
  <c r="H115" i="1" a="1"/>
  <c r="H115" i="1" s="1"/>
  <c r="BE114" i="1" a="1"/>
  <c r="BE114" i="1" s="1"/>
  <c r="BD114" i="1" a="1"/>
  <c r="BD114" i="1" s="1"/>
  <c r="BC114" i="1" a="1"/>
  <c r="BC114" i="1" s="1"/>
  <c r="BB114" i="1" a="1"/>
  <c r="BB114" i="1" s="1"/>
  <c r="BA114" i="1" a="1"/>
  <c r="BA114" i="1" s="1"/>
  <c r="AZ114" i="1" a="1"/>
  <c r="AZ114" i="1" s="1"/>
  <c r="AY114" i="1" a="1"/>
  <c r="AY114" i="1" s="1"/>
  <c r="AX114" i="1" a="1"/>
  <c r="AX114" i="1" s="1"/>
  <c r="AW114" i="1" a="1"/>
  <c r="AW114" i="1" s="1"/>
  <c r="AV114" i="1" a="1"/>
  <c r="AV114" i="1" s="1"/>
  <c r="AU114" i="1" a="1"/>
  <c r="AU114" i="1" s="1"/>
  <c r="AT114" i="1" a="1"/>
  <c r="AT114" i="1" s="1"/>
  <c r="AS114" i="1" a="1"/>
  <c r="AS114" i="1" s="1"/>
  <c r="AR114" i="1" a="1"/>
  <c r="AR114" i="1" s="1"/>
  <c r="AQ114" i="1" a="1"/>
  <c r="AQ114" i="1" s="1"/>
  <c r="AP114" i="1" a="1"/>
  <c r="AP114" i="1" s="1"/>
  <c r="AO114" i="1" a="1"/>
  <c r="AO114" i="1" s="1"/>
  <c r="AN114" i="1" a="1"/>
  <c r="AN114" i="1" s="1"/>
  <c r="AM114" i="1" a="1"/>
  <c r="AM114" i="1" s="1"/>
  <c r="AL114" i="1" a="1"/>
  <c r="AL114" i="1" s="1"/>
  <c r="AK114" i="1" a="1"/>
  <c r="AK114" i="1" s="1"/>
  <c r="AJ114" i="1" a="1"/>
  <c r="AJ114" i="1" s="1"/>
  <c r="AI114" i="1" a="1"/>
  <c r="AI114" i="1" s="1"/>
  <c r="AH114" i="1" a="1"/>
  <c r="AH114" i="1" s="1"/>
  <c r="AG114" i="1" a="1"/>
  <c r="AG114" i="1" s="1"/>
  <c r="AF114" i="1" a="1"/>
  <c r="AF114" i="1" s="1"/>
  <c r="AE114" i="1" a="1"/>
  <c r="AE114" i="1" s="1"/>
  <c r="AD114" i="1" a="1"/>
  <c r="AD114" i="1" s="1"/>
  <c r="AC114" i="1" a="1"/>
  <c r="AC114" i="1" s="1"/>
  <c r="AB114" i="1" a="1"/>
  <c r="AB114" i="1" s="1"/>
  <c r="AA114" i="1" a="1"/>
  <c r="AA114" i="1" s="1"/>
  <c r="Z114" i="1" a="1"/>
  <c r="Z114" i="1" s="1"/>
  <c r="Y114" i="1" a="1"/>
  <c r="Y114" i="1" s="1"/>
  <c r="X114" i="1" a="1"/>
  <c r="X114" i="1" s="1"/>
  <c r="W114" i="1" a="1"/>
  <c r="W114" i="1" s="1"/>
  <c r="V114" i="1" a="1"/>
  <c r="V114" i="1" s="1"/>
  <c r="U114" i="1" a="1"/>
  <c r="U114" i="1" s="1"/>
  <c r="T114" i="1" a="1"/>
  <c r="T114" i="1" s="1"/>
  <c r="S114" i="1" a="1"/>
  <c r="S114" i="1" s="1"/>
  <c r="R114" i="1" a="1"/>
  <c r="R114" i="1" s="1"/>
  <c r="Q114" i="1" a="1"/>
  <c r="Q114" i="1" s="1"/>
  <c r="P114" i="1" a="1"/>
  <c r="P114" i="1" s="1"/>
  <c r="O114" i="1" a="1"/>
  <c r="O114" i="1" s="1"/>
  <c r="N114" i="1" a="1"/>
  <c r="N114" i="1" s="1"/>
  <c r="M114" i="1" a="1"/>
  <c r="M114" i="1" s="1"/>
  <c r="L114" i="1" a="1"/>
  <c r="L114" i="1" s="1"/>
  <c r="K114" i="1" a="1"/>
  <c r="K114" i="1" s="1"/>
  <c r="J114" i="1" a="1"/>
  <c r="J114" i="1" s="1"/>
  <c r="I114" i="1" a="1"/>
  <c r="I114" i="1" s="1"/>
  <c r="H114" i="1" a="1"/>
  <c r="H114" i="1" s="1"/>
  <c r="BE113" i="1" a="1"/>
  <c r="BE113" i="1" s="1"/>
  <c r="BD113" i="1" a="1"/>
  <c r="BD113" i="1" s="1"/>
  <c r="BC113" i="1" a="1"/>
  <c r="BC113" i="1" s="1"/>
  <c r="BB113" i="1" a="1"/>
  <c r="BB113" i="1" s="1"/>
  <c r="BA113" i="1" a="1"/>
  <c r="BA113" i="1" s="1"/>
  <c r="AZ113" i="1" a="1"/>
  <c r="AZ113" i="1" s="1"/>
  <c r="AY113" i="1" a="1"/>
  <c r="AY113" i="1" s="1"/>
  <c r="AX113" i="1" a="1"/>
  <c r="AX113" i="1" s="1"/>
  <c r="AW113" i="1" a="1"/>
  <c r="AW113" i="1" s="1"/>
  <c r="AV113" i="1" a="1"/>
  <c r="AV113" i="1" s="1"/>
  <c r="AU113" i="1" a="1"/>
  <c r="AU113" i="1" s="1"/>
  <c r="AT113" i="1" a="1"/>
  <c r="AT113" i="1" s="1"/>
  <c r="AS113" i="1" a="1"/>
  <c r="AS113" i="1" s="1"/>
  <c r="AR113" i="1" a="1"/>
  <c r="AR113" i="1" s="1"/>
  <c r="AQ113" i="1" a="1"/>
  <c r="AQ113" i="1" s="1"/>
  <c r="AP113" i="1" a="1"/>
  <c r="AP113" i="1" s="1"/>
  <c r="AO113" i="1" a="1"/>
  <c r="AO113" i="1" s="1"/>
  <c r="AN113" i="1" a="1"/>
  <c r="AN113" i="1" s="1"/>
  <c r="AM113" i="1" a="1"/>
  <c r="AM113" i="1" s="1"/>
  <c r="AL113" i="1" a="1"/>
  <c r="AL113" i="1" s="1"/>
  <c r="AK113" i="1" a="1"/>
  <c r="AK113" i="1" s="1"/>
  <c r="AJ113" i="1" a="1"/>
  <c r="AJ113" i="1" s="1"/>
  <c r="AI113" i="1" a="1"/>
  <c r="AI113" i="1" s="1"/>
  <c r="AH113" i="1" a="1"/>
  <c r="AH113" i="1" s="1"/>
  <c r="AG113" i="1" a="1"/>
  <c r="AG113" i="1" s="1"/>
  <c r="AF113" i="1" a="1"/>
  <c r="AF113" i="1" s="1"/>
  <c r="AE113" i="1" a="1"/>
  <c r="AE113" i="1" s="1"/>
  <c r="AD113" i="1" a="1"/>
  <c r="AD113" i="1" s="1"/>
  <c r="AC113" i="1" a="1"/>
  <c r="AC113" i="1" s="1"/>
  <c r="AB113" i="1" a="1"/>
  <c r="AB113" i="1" s="1"/>
  <c r="AA113" i="1" a="1"/>
  <c r="AA113" i="1" s="1"/>
  <c r="Z113" i="1" a="1"/>
  <c r="Z113" i="1" s="1"/>
  <c r="Y113" i="1" a="1"/>
  <c r="Y113" i="1" s="1"/>
  <c r="X113" i="1" a="1"/>
  <c r="X113" i="1" s="1"/>
  <c r="W113" i="1" a="1"/>
  <c r="W113" i="1" s="1"/>
  <c r="V113" i="1" a="1"/>
  <c r="V113" i="1" s="1"/>
  <c r="U113" i="1" a="1"/>
  <c r="U113" i="1" s="1"/>
  <c r="T113" i="1" a="1"/>
  <c r="T113" i="1" s="1"/>
  <c r="S113" i="1" a="1"/>
  <c r="S113" i="1" s="1"/>
  <c r="R113" i="1" a="1"/>
  <c r="R113" i="1" s="1"/>
  <c r="Q113" i="1" a="1"/>
  <c r="Q113" i="1" s="1"/>
  <c r="P113" i="1" a="1"/>
  <c r="P113" i="1" s="1"/>
  <c r="O113" i="1" a="1"/>
  <c r="O113" i="1" s="1"/>
  <c r="N113" i="1" a="1"/>
  <c r="N113" i="1" s="1"/>
  <c r="M113" i="1" a="1"/>
  <c r="M113" i="1" s="1"/>
  <c r="L113" i="1" a="1"/>
  <c r="L113" i="1" s="1"/>
  <c r="K113" i="1" a="1"/>
  <c r="K113" i="1" s="1"/>
  <c r="J113" i="1" a="1"/>
  <c r="J113" i="1" s="1"/>
  <c r="I113" i="1" a="1"/>
  <c r="I113" i="1" s="1"/>
  <c r="H113" i="1" a="1"/>
  <c r="H113" i="1" s="1"/>
  <c r="BE112" i="1" a="1"/>
  <c r="BE112" i="1" s="1"/>
  <c r="BD112" i="1" a="1"/>
  <c r="BD112" i="1" s="1"/>
  <c r="BC112" i="1" a="1"/>
  <c r="BC112" i="1" s="1"/>
  <c r="BB112" i="1" a="1"/>
  <c r="BB112" i="1" s="1"/>
  <c r="BA112" i="1" a="1"/>
  <c r="BA112" i="1" s="1"/>
  <c r="AZ112" i="1" a="1"/>
  <c r="AZ112" i="1" s="1"/>
  <c r="AY112" i="1" a="1"/>
  <c r="AY112" i="1" s="1"/>
  <c r="AX112" i="1" a="1"/>
  <c r="AX112" i="1" s="1"/>
  <c r="AW112" i="1" a="1"/>
  <c r="AW112" i="1" s="1"/>
  <c r="AV112" i="1" a="1"/>
  <c r="AV112" i="1" s="1"/>
  <c r="AU112" i="1" a="1"/>
  <c r="AU112" i="1" s="1"/>
  <c r="AT112" i="1" a="1"/>
  <c r="AT112" i="1" s="1"/>
  <c r="AS112" i="1" a="1"/>
  <c r="AS112" i="1" s="1"/>
  <c r="AR112" i="1" a="1"/>
  <c r="AR112" i="1" s="1"/>
  <c r="AQ112" i="1" a="1"/>
  <c r="AQ112" i="1" s="1"/>
  <c r="AP112" i="1" a="1"/>
  <c r="AP112" i="1" s="1"/>
  <c r="AO112" i="1" a="1"/>
  <c r="AO112" i="1" s="1"/>
  <c r="AN112" i="1" a="1"/>
  <c r="AN112" i="1" s="1"/>
  <c r="AM112" i="1" a="1"/>
  <c r="AM112" i="1" s="1"/>
  <c r="AL112" i="1" a="1"/>
  <c r="AL112" i="1" s="1"/>
  <c r="AK112" i="1" a="1"/>
  <c r="AK112" i="1" s="1"/>
  <c r="AJ112" i="1" a="1"/>
  <c r="AJ112" i="1" s="1"/>
  <c r="AI112" i="1" a="1"/>
  <c r="AI112" i="1" s="1"/>
  <c r="AH112" i="1" a="1"/>
  <c r="AH112" i="1" s="1"/>
  <c r="AG112" i="1" a="1"/>
  <c r="AG112" i="1" s="1"/>
  <c r="AF112" i="1" a="1"/>
  <c r="AF112" i="1" s="1"/>
  <c r="AE112" i="1" a="1"/>
  <c r="AE112" i="1" s="1"/>
  <c r="AD112" i="1" a="1"/>
  <c r="AD112" i="1" s="1"/>
  <c r="AC112" i="1" a="1"/>
  <c r="AC112" i="1" s="1"/>
  <c r="AB112" i="1" a="1"/>
  <c r="AB112" i="1" s="1"/>
  <c r="AA112" i="1" a="1"/>
  <c r="AA112" i="1" s="1"/>
  <c r="Z112" i="1" a="1"/>
  <c r="Z112" i="1" s="1"/>
  <c r="Y112" i="1" a="1"/>
  <c r="Y112" i="1" s="1"/>
  <c r="X112" i="1" a="1"/>
  <c r="X112" i="1" s="1"/>
  <c r="W112" i="1" a="1"/>
  <c r="W112" i="1" s="1"/>
  <c r="V112" i="1" a="1"/>
  <c r="V112" i="1" s="1"/>
  <c r="U112" i="1" a="1"/>
  <c r="U112" i="1" s="1"/>
  <c r="T112" i="1" a="1"/>
  <c r="T112" i="1" s="1"/>
  <c r="S112" i="1" a="1"/>
  <c r="S112" i="1" s="1"/>
  <c r="R112" i="1" a="1"/>
  <c r="R112" i="1" s="1"/>
  <c r="Q112" i="1" a="1"/>
  <c r="Q112" i="1" s="1"/>
  <c r="P112" i="1" a="1"/>
  <c r="P112" i="1" s="1"/>
  <c r="O112" i="1" a="1"/>
  <c r="O112" i="1" s="1"/>
  <c r="N112" i="1" a="1"/>
  <c r="N112" i="1" s="1"/>
  <c r="M112" i="1" a="1"/>
  <c r="M112" i="1" s="1"/>
  <c r="L112" i="1" a="1"/>
  <c r="L112" i="1" s="1"/>
  <c r="K112" i="1" a="1"/>
  <c r="K112" i="1" s="1"/>
  <c r="J112" i="1" a="1"/>
  <c r="J112" i="1" s="1"/>
  <c r="I112" i="1" a="1"/>
  <c r="I112" i="1" s="1"/>
  <c r="H112" i="1" a="1"/>
  <c r="H112" i="1" s="1"/>
  <c r="BE111" i="1" a="1"/>
  <c r="BE111" i="1" s="1"/>
  <c r="BD111" i="1" a="1"/>
  <c r="BD111" i="1" s="1"/>
  <c r="BC111" i="1" a="1"/>
  <c r="BC111" i="1" s="1"/>
  <c r="BB111" i="1" a="1"/>
  <c r="BB111" i="1" s="1"/>
  <c r="BA111" i="1" a="1"/>
  <c r="BA111" i="1" s="1"/>
  <c r="AZ111" i="1" a="1"/>
  <c r="AZ111" i="1" s="1"/>
  <c r="AY111" i="1" a="1"/>
  <c r="AY111" i="1" s="1"/>
  <c r="AX111" i="1" a="1"/>
  <c r="AX111" i="1" s="1"/>
  <c r="AW111" i="1" a="1"/>
  <c r="AW111" i="1" s="1"/>
  <c r="AV111" i="1" a="1"/>
  <c r="AV111" i="1" s="1"/>
  <c r="AU111" i="1" a="1"/>
  <c r="AU111" i="1" s="1"/>
  <c r="AT111" i="1" a="1"/>
  <c r="AT111" i="1" s="1"/>
  <c r="AS111" i="1" a="1"/>
  <c r="AS111" i="1" s="1"/>
  <c r="AR111" i="1" a="1"/>
  <c r="AR111" i="1" s="1"/>
  <c r="AQ111" i="1" a="1"/>
  <c r="AQ111" i="1" s="1"/>
  <c r="AP111" i="1" a="1"/>
  <c r="AP111" i="1" s="1"/>
  <c r="AO111" i="1" a="1"/>
  <c r="AO111" i="1" s="1"/>
  <c r="AN111" i="1" a="1"/>
  <c r="AN111" i="1" s="1"/>
  <c r="AM111" i="1" a="1"/>
  <c r="AM111" i="1" s="1"/>
  <c r="AL111" i="1" a="1"/>
  <c r="AL111" i="1" s="1"/>
  <c r="AK111" i="1" a="1"/>
  <c r="AK111" i="1" s="1"/>
  <c r="AJ111" i="1" a="1"/>
  <c r="AJ111" i="1" s="1"/>
  <c r="AI111" i="1" a="1"/>
  <c r="AI111" i="1" s="1"/>
  <c r="AH111" i="1" a="1"/>
  <c r="AH111" i="1" s="1"/>
  <c r="AG111" i="1" a="1"/>
  <c r="AG111" i="1" s="1"/>
  <c r="AF111" i="1" a="1"/>
  <c r="AF111" i="1" s="1"/>
  <c r="AE111" i="1" a="1"/>
  <c r="AE111" i="1" s="1"/>
  <c r="AD111" i="1" a="1"/>
  <c r="AD111" i="1" s="1"/>
  <c r="AC111" i="1" a="1"/>
  <c r="AC111" i="1" s="1"/>
  <c r="AB111" i="1" a="1"/>
  <c r="AB111" i="1" s="1"/>
  <c r="AA111" i="1" a="1"/>
  <c r="AA111" i="1" s="1"/>
  <c r="Z111" i="1" a="1"/>
  <c r="Z111" i="1" s="1"/>
  <c r="Y111" i="1" a="1"/>
  <c r="Y111" i="1" s="1"/>
  <c r="X111" i="1" a="1"/>
  <c r="X111" i="1" s="1"/>
  <c r="W111" i="1" a="1"/>
  <c r="W111" i="1" s="1"/>
  <c r="V111" i="1" a="1"/>
  <c r="V111" i="1" s="1"/>
  <c r="U111" i="1" a="1"/>
  <c r="U111" i="1" s="1"/>
  <c r="T111" i="1" a="1"/>
  <c r="T111" i="1" s="1"/>
  <c r="S111" i="1" a="1"/>
  <c r="S111" i="1" s="1"/>
  <c r="R111" i="1" a="1"/>
  <c r="R111" i="1" s="1"/>
  <c r="Q111" i="1" a="1"/>
  <c r="Q111" i="1" s="1"/>
  <c r="P111" i="1" a="1"/>
  <c r="P111" i="1" s="1"/>
  <c r="O111" i="1" a="1"/>
  <c r="O111" i="1" s="1"/>
  <c r="N111" i="1" a="1"/>
  <c r="N111" i="1" s="1"/>
  <c r="M111" i="1" a="1"/>
  <c r="M111" i="1" s="1"/>
  <c r="L111" i="1" a="1"/>
  <c r="L111" i="1" s="1"/>
  <c r="K111" i="1" a="1"/>
  <c r="K111" i="1" s="1"/>
  <c r="J111" i="1" a="1"/>
  <c r="J111" i="1" s="1"/>
  <c r="I111" i="1" a="1"/>
  <c r="I111" i="1" s="1"/>
  <c r="H111" i="1" a="1"/>
  <c r="H111" i="1" s="1"/>
  <c r="BE110" i="1" a="1"/>
  <c r="BE110" i="1" s="1"/>
  <c r="BD110" i="1" a="1"/>
  <c r="BD110" i="1" s="1"/>
  <c r="BC110" i="1" a="1"/>
  <c r="BC110" i="1" s="1"/>
  <c r="BB110" i="1" a="1"/>
  <c r="BB110" i="1" s="1"/>
  <c r="BA110" i="1" a="1"/>
  <c r="BA110" i="1" s="1"/>
  <c r="AZ110" i="1" a="1"/>
  <c r="AZ110" i="1" s="1"/>
  <c r="AY110" i="1" a="1"/>
  <c r="AY110" i="1" s="1"/>
  <c r="AX110" i="1" a="1"/>
  <c r="AX110" i="1" s="1"/>
  <c r="AW110" i="1" a="1"/>
  <c r="AW110" i="1" s="1"/>
  <c r="AV110" i="1" a="1"/>
  <c r="AV110" i="1" s="1"/>
  <c r="AU110" i="1" a="1"/>
  <c r="AU110" i="1" s="1"/>
  <c r="AT110" i="1" a="1"/>
  <c r="AT110" i="1" s="1"/>
  <c r="AS110" i="1" a="1"/>
  <c r="AS110" i="1" s="1"/>
  <c r="AR110" i="1" a="1"/>
  <c r="AR110" i="1" s="1"/>
  <c r="AQ110" i="1" a="1"/>
  <c r="AQ110" i="1" s="1"/>
  <c r="AP110" i="1" a="1"/>
  <c r="AP110" i="1" s="1"/>
  <c r="AO110" i="1" a="1"/>
  <c r="AO110" i="1" s="1"/>
  <c r="AN110" i="1" a="1"/>
  <c r="AN110" i="1" s="1"/>
  <c r="AM110" i="1" a="1"/>
  <c r="AM110" i="1" s="1"/>
  <c r="AL110" i="1" a="1"/>
  <c r="AL110" i="1" s="1"/>
  <c r="AK110" i="1" a="1"/>
  <c r="AK110" i="1" s="1"/>
  <c r="AJ110" i="1" a="1"/>
  <c r="AJ110" i="1" s="1"/>
  <c r="AI110" i="1" a="1"/>
  <c r="AI110" i="1" s="1"/>
  <c r="AH110" i="1" a="1"/>
  <c r="AH110" i="1" s="1"/>
  <c r="AG110" i="1" a="1"/>
  <c r="AG110" i="1" s="1"/>
  <c r="AF110" i="1" a="1"/>
  <c r="AF110" i="1" s="1"/>
  <c r="AE110" i="1" a="1"/>
  <c r="AE110" i="1" s="1"/>
  <c r="AD110" i="1" a="1"/>
  <c r="AD110" i="1" s="1"/>
  <c r="AC110" i="1" a="1"/>
  <c r="AC110" i="1" s="1"/>
  <c r="AB110" i="1" a="1"/>
  <c r="AB110" i="1" s="1"/>
  <c r="AA110" i="1" a="1"/>
  <c r="AA110" i="1" s="1"/>
  <c r="Z110" i="1" a="1"/>
  <c r="Z110" i="1" s="1"/>
  <c r="Y110" i="1" a="1"/>
  <c r="Y110" i="1" s="1"/>
  <c r="X110" i="1" a="1"/>
  <c r="X110" i="1" s="1"/>
  <c r="W110" i="1" a="1"/>
  <c r="W110" i="1" s="1"/>
  <c r="V110" i="1" a="1"/>
  <c r="V110" i="1" s="1"/>
  <c r="U110" i="1" a="1"/>
  <c r="U110" i="1" s="1"/>
  <c r="T110" i="1" a="1"/>
  <c r="T110" i="1" s="1"/>
  <c r="S110" i="1" a="1"/>
  <c r="S110" i="1" s="1"/>
  <c r="R110" i="1" a="1"/>
  <c r="R110" i="1" s="1"/>
  <c r="Q110" i="1" a="1"/>
  <c r="Q110" i="1" s="1"/>
  <c r="P110" i="1" a="1"/>
  <c r="P110" i="1" s="1"/>
  <c r="O110" i="1" a="1"/>
  <c r="O110" i="1" s="1"/>
  <c r="N110" i="1" a="1"/>
  <c r="N110" i="1" s="1"/>
  <c r="M110" i="1" a="1"/>
  <c r="M110" i="1" s="1"/>
  <c r="L110" i="1" a="1"/>
  <c r="L110" i="1" s="1"/>
  <c r="K110" i="1" a="1"/>
  <c r="K110" i="1" s="1"/>
  <c r="J110" i="1" a="1"/>
  <c r="J110" i="1" s="1"/>
  <c r="I110" i="1" a="1"/>
  <c r="I110" i="1" s="1"/>
  <c r="H110" i="1" a="1"/>
  <c r="H110" i="1" s="1"/>
  <c r="BE109" i="1" a="1"/>
  <c r="BE109" i="1" s="1"/>
  <c r="BD109" i="1" a="1"/>
  <c r="BD109" i="1" s="1"/>
  <c r="BC109" i="1" a="1"/>
  <c r="BC109" i="1" s="1"/>
  <c r="BB109" i="1" a="1"/>
  <c r="BB109" i="1" s="1"/>
  <c r="BA109" i="1" a="1"/>
  <c r="BA109" i="1" s="1"/>
  <c r="AZ109" i="1" a="1"/>
  <c r="AZ109" i="1" s="1"/>
  <c r="AY109" i="1" a="1"/>
  <c r="AY109" i="1" s="1"/>
  <c r="AX109" i="1" a="1"/>
  <c r="AX109" i="1" s="1"/>
  <c r="AW109" i="1" a="1"/>
  <c r="AW109" i="1" s="1"/>
  <c r="AV109" i="1" a="1"/>
  <c r="AV109" i="1" s="1"/>
  <c r="AU109" i="1" a="1"/>
  <c r="AU109" i="1" s="1"/>
  <c r="AT109" i="1" a="1"/>
  <c r="AT109" i="1" s="1"/>
  <c r="AS109" i="1" a="1"/>
  <c r="AS109" i="1" s="1"/>
  <c r="AR109" i="1" a="1"/>
  <c r="AR109" i="1" s="1"/>
  <c r="AQ109" i="1" a="1"/>
  <c r="AQ109" i="1" s="1"/>
  <c r="AP109" i="1" a="1"/>
  <c r="AP109" i="1" s="1"/>
  <c r="AO109" i="1" a="1"/>
  <c r="AO109" i="1" s="1"/>
  <c r="AN109" i="1" a="1"/>
  <c r="AN109" i="1" s="1"/>
  <c r="AM109" i="1" a="1"/>
  <c r="AM109" i="1" s="1"/>
  <c r="AL109" i="1" a="1"/>
  <c r="AL109" i="1" s="1"/>
  <c r="AK109" i="1" a="1"/>
  <c r="AK109" i="1" s="1"/>
  <c r="AJ109" i="1" a="1"/>
  <c r="AJ109" i="1" s="1"/>
  <c r="AI109" i="1" a="1"/>
  <c r="AI109" i="1" s="1"/>
  <c r="AH109" i="1" a="1"/>
  <c r="AH109" i="1" s="1"/>
  <c r="AG109" i="1" a="1"/>
  <c r="AG109" i="1" s="1"/>
  <c r="AF109" i="1" a="1"/>
  <c r="AF109" i="1" s="1"/>
  <c r="AE109" i="1" a="1"/>
  <c r="AE109" i="1" s="1"/>
  <c r="AD109" i="1" a="1"/>
  <c r="AD109" i="1" s="1"/>
  <c r="AC109" i="1" a="1"/>
  <c r="AC109" i="1" s="1"/>
  <c r="AB109" i="1" a="1"/>
  <c r="AB109" i="1" s="1"/>
  <c r="AA109" i="1" a="1"/>
  <c r="AA109" i="1" s="1"/>
  <c r="Z109" i="1" a="1"/>
  <c r="Z109" i="1" s="1"/>
  <c r="Y109" i="1" a="1"/>
  <c r="Y109" i="1" s="1"/>
  <c r="X109" i="1" a="1"/>
  <c r="X109" i="1" s="1"/>
  <c r="W109" i="1" a="1"/>
  <c r="W109" i="1" s="1"/>
  <c r="V109" i="1" a="1"/>
  <c r="V109" i="1" s="1"/>
  <c r="U109" i="1" a="1"/>
  <c r="U109" i="1" s="1"/>
  <c r="T109" i="1" a="1"/>
  <c r="T109" i="1" s="1"/>
  <c r="S109" i="1" a="1"/>
  <c r="S109" i="1" s="1"/>
  <c r="R109" i="1" a="1"/>
  <c r="R109" i="1" s="1"/>
  <c r="Q109" i="1" a="1"/>
  <c r="Q109" i="1" s="1"/>
  <c r="P109" i="1" a="1"/>
  <c r="P109" i="1" s="1"/>
  <c r="O109" i="1" a="1"/>
  <c r="O109" i="1" s="1"/>
  <c r="N109" i="1" a="1"/>
  <c r="N109" i="1" s="1"/>
  <c r="M109" i="1" a="1"/>
  <c r="M109" i="1" s="1"/>
  <c r="L109" i="1" a="1"/>
  <c r="L109" i="1" s="1"/>
  <c r="K109" i="1" a="1"/>
  <c r="K109" i="1" s="1"/>
  <c r="J109" i="1" a="1"/>
  <c r="J109" i="1" s="1"/>
  <c r="I109" i="1" a="1"/>
  <c r="I109" i="1" s="1"/>
  <c r="H109" i="1" a="1"/>
  <c r="H109" i="1" s="1"/>
  <c r="BE108" i="1" a="1"/>
  <c r="BE108" i="1" s="1"/>
  <c r="BD108" i="1" a="1"/>
  <c r="BD108" i="1" s="1"/>
  <c r="BC108" i="1" a="1"/>
  <c r="BC108" i="1" s="1"/>
  <c r="BB108" i="1" a="1"/>
  <c r="BB108" i="1" s="1"/>
  <c r="BA108" i="1" a="1"/>
  <c r="BA108" i="1" s="1"/>
  <c r="AZ108" i="1" a="1"/>
  <c r="AZ108" i="1" s="1"/>
  <c r="AY108" i="1" a="1"/>
  <c r="AY108" i="1" s="1"/>
  <c r="AX108" i="1" a="1"/>
  <c r="AX108" i="1" s="1"/>
  <c r="AW108" i="1" a="1"/>
  <c r="AW108" i="1" s="1"/>
  <c r="AV108" i="1" a="1"/>
  <c r="AV108" i="1" s="1"/>
  <c r="AU108" i="1" a="1"/>
  <c r="AU108" i="1" s="1"/>
  <c r="AT108" i="1" a="1"/>
  <c r="AT108" i="1" s="1"/>
  <c r="AS108" i="1" a="1"/>
  <c r="AS108" i="1" s="1"/>
  <c r="AR108" i="1" a="1"/>
  <c r="AR108" i="1" s="1"/>
  <c r="AQ108" i="1" a="1"/>
  <c r="AQ108" i="1" s="1"/>
  <c r="AP108" i="1" a="1"/>
  <c r="AP108" i="1" s="1"/>
  <c r="AO108" i="1" a="1"/>
  <c r="AO108" i="1" s="1"/>
  <c r="AN108" i="1" a="1"/>
  <c r="AN108" i="1" s="1"/>
  <c r="AM108" i="1" a="1"/>
  <c r="AM108" i="1" s="1"/>
  <c r="AL108" i="1" a="1"/>
  <c r="AL108" i="1" s="1"/>
  <c r="AK108" i="1" a="1"/>
  <c r="AK108" i="1" s="1"/>
  <c r="AJ108" i="1" a="1"/>
  <c r="AJ108" i="1" s="1"/>
  <c r="AI108" i="1" a="1"/>
  <c r="AI108" i="1" s="1"/>
  <c r="AH108" i="1" a="1"/>
  <c r="AH108" i="1" s="1"/>
  <c r="AG108" i="1" a="1"/>
  <c r="AG108" i="1" s="1"/>
  <c r="AF108" i="1" a="1"/>
  <c r="AF108" i="1" s="1"/>
  <c r="AE108" i="1" a="1"/>
  <c r="AE108" i="1" s="1"/>
  <c r="AD108" i="1" a="1"/>
  <c r="AD108" i="1" s="1"/>
  <c r="AC108" i="1" a="1"/>
  <c r="AC108" i="1" s="1"/>
  <c r="AB108" i="1" a="1"/>
  <c r="AB108" i="1" s="1"/>
  <c r="AA108" i="1" a="1"/>
  <c r="AA108" i="1" s="1"/>
  <c r="Z108" i="1" a="1"/>
  <c r="Z108" i="1" s="1"/>
  <c r="Y108" i="1" a="1"/>
  <c r="Y108" i="1" s="1"/>
  <c r="X108" i="1" a="1"/>
  <c r="X108" i="1" s="1"/>
  <c r="W108" i="1" a="1"/>
  <c r="W108" i="1" s="1"/>
  <c r="V108" i="1" a="1"/>
  <c r="V108" i="1" s="1"/>
  <c r="U108" i="1" a="1"/>
  <c r="U108" i="1" s="1"/>
  <c r="T108" i="1" a="1"/>
  <c r="T108" i="1" s="1"/>
  <c r="S108" i="1" a="1"/>
  <c r="S108" i="1" s="1"/>
  <c r="R108" i="1" a="1"/>
  <c r="R108" i="1" s="1"/>
  <c r="Q108" i="1" a="1"/>
  <c r="Q108" i="1" s="1"/>
  <c r="P108" i="1" a="1"/>
  <c r="P108" i="1" s="1"/>
  <c r="O108" i="1" a="1"/>
  <c r="O108" i="1" s="1"/>
  <c r="N108" i="1" a="1"/>
  <c r="N108" i="1" s="1"/>
  <c r="M108" i="1" a="1"/>
  <c r="M108" i="1" s="1"/>
  <c r="L108" i="1" a="1"/>
  <c r="L108" i="1" s="1"/>
  <c r="K108" i="1" a="1"/>
  <c r="K108" i="1" s="1"/>
  <c r="J108" i="1" a="1"/>
  <c r="J108" i="1" s="1"/>
  <c r="I108" i="1" a="1"/>
  <c r="I108" i="1" s="1"/>
  <c r="H108" i="1" a="1"/>
  <c r="H108" i="1" s="1"/>
  <c r="BE107" i="1" a="1"/>
  <c r="BE107" i="1" s="1"/>
  <c r="BD107" i="1" a="1"/>
  <c r="BD107" i="1" s="1"/>
  <c r="BC107" i="1" a="1"/>
  <c r="BC107" i="1" s="1"/>
  <c r="BB107" i="1" a="1"/>
  <c r="BB107" i="1" s="1"/>
  <c r="BA107" i="1" a="1"/>
  <c r="BA107" i="1" s="1"/>
  <c r="AZ107" i="1" a="1"/>
  <c r="AZ107" i="1" s="1"/>
  <c r="AY107" i="1" a="1"/>
  <c r="AY107" i="1" s="1"/>
  <c r="AX107" i="1" a="1"/>
  <c r="AX107" i="1" s="1"/>
  <c r="AW107" i="1" a="1"/>
  <c r="AW107" i="1" s="1"/>
  <c r="AV107" i="1" a="1"/>
  <c r="AV107" i="1" s="1"/>
  <c r="AU107" i="1" a="1"/>
  <c r="AU107" i="1" s="1"/>
  <c r="AT107" i="1" a="1"/>
  <c r="AT107" i="1" s="1"/>
  <c r="AS107" i="1" a="1"/>
  <c r="AS107" i="1" s="1"/>
  <c r="AR107" i="1" a="1"/>
  <c r="AR107" i="1" s="1"/>
  <c r="AQ107" i="1" a="1"/>
  <c r="AQ107" i="1" s="1"/>
  <c r="AP107" i="1" a="1"/>
  <c r="AP107" i="1" s="1"/>
  <c r="AO107" i="1" a="1"/>
  <c r="AO107" i="1" s="1"/>
  <c r="AN107" i="1" a="1"/>
  <c r="AN107" i="1" s="1"/>
  <c r="AM107" i="1" a="1"/>
  <c r="AM107" i="1" s="1"/>
  <c r="AL107" i="1" a="1"/>
  <c r="AL107" i="1" s="1"/>
  <c r="AK107" i="1" a="1"/>
  <c r="AK107" i="1" s="1"/>
  <c r="AJ107" i="1" a="1"/>
  <c r="AJ107" i="1" s="1"/>
  <c r="AI107" i="1" a="1"/>
  <c r="AI107" i="1" s="1"/>
  <c r="AH107" i="1" a="1"/>
  <c r="AH107" i="1" s="1"/>
  <c r="AG107" i="1" a="1"/>
  <c r="AG107" i="1" s="1"/>
  <c r="AF107" i="1" a="1"/>
  <c r="AF107" i="1" s="1"/>
  <c r="AE107" i="1" a="1"/>
  <c r="AE107" i="1" s="1"/>
  <c r="AD107" i="1" a="1"/>
  <c r="AD107" i="1" s="1"/>
  <c r="AC107" i="1" a="1"/>
  <c r="AC107" i="1" s="1"/>
  <c r="AB107" i="1" a="1"/>
  <c r="AB107" i="1" s="1"/>
  <c r="AA107" i="1" a="1"/>
  <c r="AA107" i="1" s="1"/>
  <c r="Z107" i="1" a="1"/>
  <c r="Z107" i="1" s="1"/>
  <c r="Y107" i="1" a="1"/>
  <c r="Y107" i="1" s="1"/>
  <c r="X107" i="1" a="1"/>
  <c r="X107" i="1" s="1"/>
  <c r="W107" i="1" a="1"/>
  <c r="W107" i="1" s="1"/>
  <c r="V107" i="1" a="1"/>
  <c r="V107" i="1" s="1"/>
  <c r="U107" i="1" a="1"/>
  <c r="U107" i="1" s="1"/>
  <c r="T107" i="1" a="1"/>
  <c r="T107" i="1" s="1"/>
  <c r="S107" i="1" a="1"/>
  <c r="S107" i="1" s="1"/>
  <c r="R107" i="1" a="1"/>
  <c r="R107" i="1" s="1"/>
  <c r="Q107" i="1" a="1"/>
  <c r="Q107" i="1" s="1"/>
  <c r="P107" i="1" a="1"/>
  <c r="P107" i="1" s="1"/>
  <c r="O107" i="1" a="1"/>
  <c r="O107" i="1" s="1"/>
  <c r="N107" i="1" a="1"/>
  <c r="N107" i="1" s="1"/>
  <c r="M107" i="1" a="1"/>
  <c r="M107" i="1" s="1"/>
  <c r="L107" i="1" a="1"/>
  <c r="L107" i="1" s="1"/>
  <c r="K107" i="1" a="1"/>
  <c r="K107" i="1" s="1"/>
  <c r="J107" i="1" a="1"/>
  <c r="J107" i="1" s="1"/>
  <c r="I107" i="1" a="1"/>
  <c r="I107" i="1" s="1"/>
  <c r="H107" i="1" a="1"/>
  <c r="H107" i="1" s="1"/>
  <c r="BE106" i="1" a="1"/>
  <c r="BE106" i="1" s="1"/>
  <c r="BD106" i="1" a="1"/>
  <c r="BD106" i="1" s="1"/>
  <c r="BC106" i="1" a="1"/>
  <c r="BC106" i="1" s="1"/>
  <c r="BB106" i="1" a="1"/>
  <c r="BB106" i="1" s="1"/>
  <c r="BA106" i="1" a="1"/>
  <c r="BA106" i="1" s="1"/>
  <c r="AZ106" i="1" a="1"/>
  <c r="AZ106" i="1" s="1"/>
  <c r="AY106" i="1" a="1"/>
  <c r="AY106" i="1" s="1"/>
  <c r="AX106" i="1" a="1"/>
  <c r="AX106" i="1" s="1"/>
  <c r="AW106" i="1" a="1"/>
  <c r="AW106" i="1" s="1"/>
  <c r="AV106" i="1" a="1"/>
  <c r="AV106" i="1" s="1"/>
  <c r="AU106" i="1" a="1"/>
  <c r="AU106" i="1" s="1"/>
  <c r="AT106" i="1" a="1"/>
  <c r="AT106" i="1" s="1"/>
  <c r="AS106" i="1" a="1"/>
  <c r="AS106" i="1" s="1"/>
  <c r="AR106" i="1" a="1"/>
  <c r="AR106" i="1" s="1"/>
  <c r="AQ106" i="1" a="1"/>
  <c r="AQ106" i="1" s="1"/>
  <c r="AP106" i="1" a="1"/>
  <c r="AP106" i="1" s="1"/>
  <c r="AO106" i="1" a="1"/>
  <c r="AO106" i="1" s="1"/>
  <c r="AN106" i="1" a="1"/>
  <c r="AN106" i="1" s="1"/>
  <c r="AM106" i="1" a="1"/>
  <c r="AM106" i="1" s="1"/>
  <c r="AL106" i="1" a="1"/>
  <c r="AL106" i="1" s="1"/>
  <c r="AK106" i="1" a="1"/>
  <c r="AK106" i="1" s="1"/>
  <c r="AJ106" i="1" a="1"/>
  <c r="AJ106" i="1" s="1"/>
  <c r="AI106" i="1" a="1"/>
  <c r="AI106" i="1" s="1"/>
  <c r="AH106" i="1" a="1"/>
  <c r="AH106" i="1" s="1"/>
  <c r="AG106" i="1" a="1"/>
  <c r="AG106" i="1" s="1"/>
  <c r="AF106" i="1" a="1"/>
  <c r="AF106" i="1" s="1"/>
  <c r="AE106" i="1" a="1"/>
  <c r="AE106" i="1" s="1"/>
  <c r="AD106" i="1" a="1"/>
  <c r="AD106" i="1" s="1"/>
  <c r="AC106" i="1" a="1"/>
  <c r="AC106" i="1" s="1"/>
  <c r="AB106" i="1" a="1"/>
  <c r="AB106" i="1" s="1"/>
  <c r="AA106" i="1" a="1"/>
  <c r="AA106" i="1" s="1"/>
  <c r="Z106" i="1" a="1"/>
  <c r="Z106" i="1" s="1"/>
  <c r="Y106" i="1" a="1"/>
  <c r="Y106" i="1" s="1"/>
  <c r="X106" i="1" a="1"/>
  <c r="X106" i="1" s="1"/>
  <c r="W106" i="1" a="1"/>
  <c r="W106" i="1" s="1"/>
  <c r="V106" i="1" a="1"/>
  <c r="V106" i="1" s="1"/>
  <c r="U106" i="1" a="1"/>
  <c r="U106" i="1" s="1"/>
  <c r="T106" i="1" a="1"/>
  <c r="T106" i="1" s="1"/>
  <c r="S106" i="1" a="1"/>
  <c r="S106" i="1" s="1"/>
  <c r="R106" i="1" a="1"/>
  <c r="R106" i="1" s="1"/>
  <c r="Q106" i="1" a="1"/>
  <c r="Q106" i="1" s="1"/>
  <c r="P106" i="1" a="1"/>
  <c r="P106" i="1" s="1"/>
  <c r="O106" i="1" a="1"/>
  <c r="O106" i="1" s="1"/>
  <c r="N106" i="1" a="1"/>
  <c r="N106" i="1" s="1"/>
  <c r="M106" i="1" a="1"/>
  <c r="M106" i="1" s="1"/>
  <c r="L106" i="1" a="1"/>
  <c r="L106" i="1" s="1"/>
  <c r="K106" i="1" a="1"/>
  <c r="K106" i="1" s="1"/>
  <c r="J106" i="1" a="1"/>
  <c r="J106" i="1" s="1"/>
  <c r="I106" i="1" a="1"/>
  <c r="I106" i="1" s="1"/>
  <c r="H106" i="1" a="1"/>
  <c r="H106" i="1" s="1"/>
  <c r="BE105" i="1" a="1"/>
  <c r="BE105" i="1" s="1"/>
  <c r="BD105" i="1" a="1"/>
  <c r="BD105" i="1" s="1"/>
  <c r="BC105" i="1" a="1"/>
  <c r="BC105" i="1" s="1"/>
  <c r="BB105" i="1" a="1"/>
  <c r="BB105" i="1" s="1"/>
  <c r="BA105" i="1" a="1"/>
  <c r="BA105" i="1" s="1"/>
  <c r="AZ105" i="1" a="1"/>
  <c r="AZ105" i="1" s="1"/>
  <c r="AY105" i="1" a="1"/>
  <c r="AY105" i="1" s="1"/>
  <c r="AX105" i="1" a="1"/>
  <c r="AX105" i="1" s="1"/>
  <c r="AW105" i="1" a="1"/>
  <c r="AW105" i="1" s="1"/>
  <c r="AV105" i="1" a="1"/>
  <c r="AV105" i="1" s="1"/>
  <c r="AU105" i="1" a="1"/>
  <c r="AU105" i="1" s="1"/>
  <c r="AT105" i="1" a="1"/>
  <c r="AT105" i="1" s="1"/>
  <c r="AS105" i="1" a="1"/>
  <c r="AS105" i="1" s="1"/>
  <c r="AR105" i="1" a="1"/>
  <c r="AR105" i="1" s="1"/>
  <c r="AQ105" i="1" a="1"/>
  <c r="AQ105" i="1" s="1"/>
  <c r="AP105" i="1" a="1"/>
  <c r="AP105" i="1" s="1"/>
  <c r="AO105" i="1" a="1"/>
  <c r="AO105" i="1" s="1"/>
  <c r="AN105" i="1" a="1"/>
  <c r="AN105" i="1" s="1"/>
  <c r="AM105" i="1" a="1"/>
  <c r="AM105" i="1" s="1"/>
  <c r="AL105" i="1" a="1"/>
  <c r="AL105" i="1" s="1"/>
  <c r="AK105" i="1" a="1"/>
  <c r="AK105" i="1" s="1"/>
  <c r="AJ105" i="1" a="1"/>
  <c r="AJ105" i="1" s="1"/>
  <c r="AI105" i="1" a="1"/>
  <c r="AI105" i="1" s="1"/>
  <c r="AH105" i="1" a="1"/>
  <c r="AH105" i="1" s="1"/>
  <c r="AG105" i="1" a="1"/>
  <c r="AG105" i="1" s="1"/>
  <c r="AF105" i="1" a="1"/>
  <c r="AF105" i="1" s="1"/>
  <c r="AE105" i="1" a="1"/>
  <c r="AE105" i="1" s="1"/>
  <c r="AD105" i="1" a="1"/>
  <c r="AD105" i="1" s="1"/>
  <c r="AC105" i="1" a="1"/>
  <c r="AC105" i="1" s="1"/>
  <c r="AB105" i="1" a="1"/>
  <c r="AB105" i="1" s="1"/>
  <c r="AA105" i="1" a="1"/>
  <c r="AA105" i="1" s="1"/>
  <c r="Z105" i="1" a="1"/>
  <c r="Z105" i="1" s="1"/>
  <c r="Y105" i="1" a="1"/>
  <c r="Y105" i="1" s="1"/>
  <c r="X105" i="1" a="1"/>
  <c r="X105" i="1" s="1"/>
  <c r="W105" i="1" a="1"/>
  <c r="W105" i="1" s="1"/>
  <c r="V105" i="1" a="1"/>
  <c r="V105" i="1" s="1"/>
  <c r="U105" i="1" a="1"/>
  <c r="U105" i="1" s="1"/>
  <c r="T105" i="1" a="1"/>
  <c r="T105" i="1" s="1"/>
  <c r="S105" i="1" a="1"/>
  <c r="S105" i="1" s="1"/>
  <c r="R105" i="1" a="1"/>
  <c r="R105" i="1" s="1"/>
  <c r="Q105" i="1" a="1"/>
  <c r="Q105" i="1" s="1"/>
  <c r="P105" i="1" a="1"/>
  <c r="P105" i="1" s="1"/>
  <c r="O105" i="1" a="1"/>
  <c r="O105" i="1" s="1"/>
  <c r="N105" i="1" a="1"/>
  <c r="N105" i="1" s="1"/>
  <c r="M105" i="1" a="1"/>
  <c r="M105" i="1" s="1"/>
  <c r="L105" i="1" a="1"/>
  <c r="L105" i="1" s="1"/>
  <c r="K105" i="1" a="1"/>
  <c r="K105" i="1" s="1"/>
  <c r="J105" i="1" a="1"/>
  <c r="J105" i="1" s="1"/>
  <c r="I105" i="1" a="1"/>
  <c r="I105" i="1" s="1"/>
  <c r="H105" i="1" a="1"/>
  <c r="H105" i="1" s="1"/>
  <c r="BE104" i="1" a="1"/>
  <c r="BE104" i="1" s="1"/>
  <c r="BD104" i="1" a="1"/>
  <c r="BD104" i="1" s="1"/>
  <c r="BC104" i="1" a="1"/>
  <c r="BC104" i="1" s="1"/>
  <c r="BB104" i="1" a="1"/>
  <c r="BB104" i="1" s="1"/>
  <c r="BA104" i="1" a="1"/>
  <c r="BA104" i="1" s="1"/>
  <c r="AZ104" i="1" a="1"/>
  <c r="AZ104" i="1" s="1"/>
  <c r="AY104" i="1" a="1"/>
  <c r="AY104" i="1" s="1"/>
  <c r="AX104" i="1" a="1"/>
  <c r="AX104" i="1" s="1"/>
  <c r="AW104" i="1" a="1"/>
  <c r="AW104" i="1" s="1"/>
  <c r="AV104" i="1" a="1"/>
  <c r="AV104" i="1" s="1"/>
  <c r="AU104" i="1" a="1"/>
  <c r="AU104" i="1" s="1"/>
  <c r="AT104" i="1" a="1"/>
  <c r="AT104" i="1" s="1"/>
  <c r="AS104" i="1" a="1"/>
  <c r="AS104" i="1" s="1"/>
  <c r="AR104" i="1" a="1"/>
  <c r="AR104" i="1" s="1"/>
  <c r="AQ104" i="1" a="1"/>
  <c r="AQ104" i="1" s="1"/>
  <c r="AP104" i="1" a="1"/>
  <c r="AP104" i="1" s="1"/>
  <c r="AO104" i="1" a="1"/>
  <c r="AO104" i="1" s="1"/>
  <c r="AN104" i="1" a="1"/>
  <c r="AN104" i="1" s="1"/>
  <c r="AM104" i="1" a="1"/>
  <c r="AM104" i="1" s="1"/>
  <c r="AL104" i="1" a="1"/>
  <c r="AL104" i="1" s="1"/>
  <c r="AK104" i="1" a="1"/>
  <c r="AK104" i="1" s="1"/>
  <c r="AJ104" i="1" a="1"/>
  <c r="AJ104" i="1" s="1"/>
  <c r="AI104" i="1" a="1"/>
  <c r="AI104" i="1" s="1"/>
  <c r="AH104" i="1" a="1"/>
  <c r="AH104" i="1" s="1"/>
  <c r="AG104" i="1" a="1"/>
  <c r="AG104" i="1" s="1"/>
  <c r="AF104" i="1" a="1"/>
  <c r="AF104" i="1" s="1"/>
  <c r="AE104" i="1" a="1"/>
  <c r="AE104" i="1" s="1"/>
  <c r="AD104" i="1" a="1"/>
  <c r="AD104" i="1" s="1"/>
  <c r="AC104" i="1" a="1"/>
  <c r="AC104" i="1" s="1"/>
  <c r="AB104" i="1" a="1"/>
  <c r="AB104" i="1" s="1"/>
  <c r="AA104" i="1" a="1"/>
  <c r="AA104" i="1" s="1"/>
  <c r="Z104" i="1" a="1"/>
  <c r="Z104" i="1" s="1"/>
  <c r="Y104" i="1" a="1"/>
  <c r="Y104" i="1" s="1"/>
  <c r="X104" i="1" a="1"/>
  <c r="X104" i="1" s="1"/>
  <c r="W104" i="1" a="1"/>
  <c r="W104" i="1" s="1"/>
  <c r="V104" i="1" a="1"/>
  <c r="V104" i="1" s="1"/>
  <c r="U104" i="1" a="1"/>
  <c r="U104" i="1" s="1"/>
  <c r="T104" i="1" a="1"/>
  <c r="T104" i="1" s="1"/>
  <c r="S104" i="1" a="1"/>
  <c r="S104" i="1" s="1"/>
  <c r="R104" i="1" a="1"/>
  <c r="R104" i="1" s="1"/>
  <c r="Q104" i="1" a="1"/>
  <c r="Q104" i="1" s="1"/>
  <c r="P104" i="1" a="1"/>
  <c r="P104" i="1" s="1"/>
  <c r="O104" i="1" a="1"/>
  <c r="O104" i="1" s="1"/>
  <c r="N104" i="1" a="1"/>
  <c r="N104" i="1" s="1"/>
  <c r="M104" i="1" a="1"/>
  <c r="M104" i="1" s="1"/>
  <c r="L104" i="1" a="1"/>
  <c r="L104" i="1" s="1"/>
  <c r="K104" i="1" a="1"/>
  <c r="K104" i="1" s="1"/>
  <c r="J104" i="1" a="1"/>
  <c r="J104" i="1" s="1"/>
  <c r="I104" i="1" a="1"/>
  <c r="I104" i="1" s="1"/>
  <c r="H104" i="1" a="1"/>
  <c r="H104" i="1" s="1"/>
  <c r="BE103" i="1" a="1"/>
  <c r="BE103" i="1" s="1"/>
  <c r="BD103" i="1" a="1"/>
  <c r="BD103" i="1" s="1"/>
  <c r="BC103" i="1" a="1"/>
  <c r="BC103" i="1" s="1"/>
  <c r="BB103" i="1" a="1"/>
  <c r="BB103" i="1" s="1"/>
  <c r="BA103" i="1" a="1"/>
  <c r="BA103" i="1" s="1"/>
  <c r="AZ103" i="1" a="1"/>
  <c r="AZ103" i="1" s="1"/>
  <c r="AY103" i="1" a="1"/>
  <c r="AY103" i="1" s="1"/>
  <c r="AX103" i="1" a="1"/>
  <c r="AX103" i="1" s="1"/>
  <c r="AW103" i="1" a="1"/>
  <c r="AW103" i="1" s="1"/>
  <c r="AV103" i="1" a="1"/>
  <c r="AV103" i="1" s="1"/>
  <c r="AU103" i="1" a="1"/>
  <c r="AU103" i="1" s="1"/>
  <c r="AT103" i="1" a="1"/>
  <c r="AT103" i="1" s="1"/>
  <c r="AS103" i="1" a="1"/>
  <c r="AS103" i="1" s="1"/>
  <c r="AR103" i="1" a="1"/>
  <c r="AR103" i="1" s="1"/>
  <c r="AQ103" i="1" a="1"/>
  <c r="AQ103" i="1" s="1"/>
  <c r="AP103" i="1" a="1"/>
  <c r="AP103" i="1" s="1"/>
  <c r="AO103" i="1" a="1"/>
  <c r="AO103" i="1" s="1"/>
  <c r="AN103" i="1" a="1"/>
  <c r="AN103" i="1" s="1"/>
  <c r="AM103" i="1" a="1"/>
  <c r="AM103" i="1" s="1"/>
  <c r="AL103" i="1" a="1"/>
  <c r="AL103" i="1" s="1"/>
  <c r="AK103" i="1" a="1"/>
  <c r="AK103" i="1" s="1"/>
  <c r="AJ103" i="1" a="1"/>
  <c r="AJ103" i="1" s="1"/>
  <c r="AI103" i="1" a="1"/>
  <c r="AI103" i="1" s="1"/>
  <c r="AH103" i="1" a="1"/>
  <c r="AH103" i="1" s="1"/>
  <c r="AG103" i="1" a="1"/>
  <c r="AG103" i="1" s="1"/>
  <c r="AF103" i="1" a="1"/>
  <c r="AF103" i="1" s="1"/>
  <c r="AE103" i="1" a="1"/>
  <c r="AE103" i="1" s="1"/>
  <c r="AD103" i="1" a="1"/>
  <c r="AD103" i="1" s="1"/>
  <c r="AC103" i="1" a="1"/>
  <c r="AC103" i="1" s="1"/>
  <c r="AB103" i="1" a="1"/>
  <c r="AB103" i="1" s="1"/>
  <c r="AA103" i="1" a="1"/>
  <c r="AA103" i="1" s="1"/>
  <c r="Z103" i="1" a="1"/>
  <c r="Z103" i="1" s="1"/>
  <c r="Y103" i="1" a="1"/>
  <c r="Y103" i="1" s="1"/>
  <c r="X103" i="1" a="1"/>
  <c r="X103" i="1" s="1"/>
  <c r="W103" i="1" a="1"/>
  <c r="W103" i="1" s="1"/>
  <c r="V103" i="1" a="1"/>
  <c r="V103" i="1" s="1"/>
  <c r="U103" i="1" a="1"/>
  <c r="U103" i="1" s="1"/>
  <c r="T103" i="1" a="1"/>
  <c r="T103" i="1" s="1"/>
  <c r="S103" i="1" a="1"/>
  <c r="S103" i="1" s="1"/>
  <c r="R103" i="1" a="1"/>
  <c r="R103" i="1" s="1"/>
  <c r="Q103" i="1" a="1"/>
  <c r="Q103" i="1" s="1"/>
  <c r="P103" i="1" a="1"/>
  <c r="P103" i="1" s="1"/>
  <c r="O103" i="1" a="1"/>
  <c r="O103" i="1" s="1"/>
  <c r="N103" i="1" a="1"/>
  <c r="N103" i="1" s="1"/>
  <c r="M103" i="1" a="1"/>
  <c r="M103" i="1" s="1"/>
  <c r="L103" i="1" a="1"/>
  <c r="L103" i="1" s="1"/>
  <c r="K103" i="1" a="1"/>
  <c r="K103" i="1" s="1"/>
  <c r="J103" i="1" a="1"/>
  <c r="J103" i="1" s="1"/>
  <c r="I103" i="1" a="1"/>
  <c r="I103" i="1" s="1"/>
  <c r="H103" i="1" a="1"/>
  <c r="H103" i="1" s="1"/>
  <c r="BE102" i="1" a="1"/>
  <c r="BE102" i="1" s="1"/>
  <c r="BD102" i="1" a="1"/>
  <c r="BD102" i="1" s="1"/>
  <c r="BC102" i="1" a="1"/>
  <c r="BC102" i="1" s="1"/>
  <c r="BB102" i="1" a="1"/>
  <c r="BB102" i="1" s="1"/>
  <c r="BA102" i="1" a="1"/>
  <c r="BA102" i="1" s="1"/>
  <c r="AZ102" i="1" a="1"/>
  <c r="AZ102" i="1" s="1"/>
  <c r="AY102" i="1" a="1"/>
  <c r="AY102" i="1" s="1"/>
  <c r="AX102" i="1" a="1"/>
  <c r="AX102" i="1" s="1"/>
  <c r="AW102" i="1" a="1"/>
  <c r="AW102" i="1" s="1"/>
  <c r="AV102" i="1" a="1"/>
  <c r="AV102" i="1" s="1"/>
  <c r="AU102" i="1" a="1"/>
  <c r="AU102" i="1" s="1"/>
  <c r="AT102" i="1" a="1"/>
  <c r="AT102" i="1" s="1"/>
  <c r="AS102" i="1" a="1"/>
  <c r="AS102" i="1" s="1"/>
  <c r="AR102" i="1" a="1"/>
  <c r="AR102" i="1" s="1"/>
  <c r="AQ102" i="1" a="1"/>
  <c r="AQ102" i="1" s="1"/>
  <c r="AP102" i="1" a="1"/>
  <c r="AP102" i="1" s="1"/>
  <c r="AO102" i="1" a="1"/>
  <c r="AO102" i="1" s="1"/>
  <c r="AN102" i="1" a="1"/>
  <c r="AN102" i="1" s="1"/>
  <c r="AM102" i="1" a="1"/>
  <c r="AM102" i="1" s="1"/>
  <c r="AL102" i="1" a="1"/>
  <c r="AL102" i="1" s="1"/>
  <c r="AK102" i="1" a="1"/>
  <c r="AK102" i="1" s="1"/>
  <c r="AJ102" i="1" a="1"/>
  <c r="AJ102" i="1" s="1"/>
  <c r="AI102" i="1" a="1"/>
  <c r="AI102" i="1" s="1"/>
  <c r="AH102" i="1" a="1"/>
  <c r="AH102" i="1" s="1"/>
  <c r="AG102" i="1" a="1"/>
  <c r="AG102" i="1" s="1"/>
  <c r="AF102" i="1" a="1"/>
  <c r="AF102" i="1" s="1"/>
  <c r="AE102" i="1" a="1"/>
  <c r="AE102" i="1" s="1"/>
  <c r="AD102" i="1" a="1"/>
  <c r="AD102" i="1" s="1"/>
  <c r="AC102" i="1" a="1"/>
  <c r="AC102" i="1" s="1"/>
  <c r="AB102" i="1" a="1"/>
  <c r="AB102" i="1" s="1"/>
  <c r="AA102" i="1" a="1"/>
  <c r="AA102" i="1" s="1"/>
  <c r="Z102" i="1" a="1"/>
  <c r="Z102" i="1" s="1"/>
  <c r="Y102" i="1" a="1"/>
  <c r="Y102" i="1" s="1"/>
  <c r="X102" i="1" a="1"/>
  <c r="X102" i="1" s="1"/>
  <c r="W102" i="1" a="1"/>
  <c r="W102" i="1" s="1"/>
  <c r="V102" i="1" a="1"/>
  <c r="V102" i="1" s="1"/>
  <c r="U102" i="1" a="1"/>
  <c r="U102" i="1" s="1"/>
  <c r="T102" i="1" a="1"/>
  <c r="T102" i="1" s="1"/>
  <c r="S102" i="1" a="1"/>
  <c r="S102" i="1" s="1"/>
  <c r="R102" i="1" a="1"/>
  <c r="R102" i="1" s="1"/>
  <c r="Q102" i="1" a="1"/>
  <c r="Q102" i="1" s="1"/>
  <c r="P102" i="1" a="1"/>
  <c r="P102" i="1" s="1"/>
  <c r="O102" i="1" a="1"/>
  <c r="O102" i="1" s="1"/>
  <c r="N102" i="1" a="1"/>
  <c r="N102" i="1" s="1"/>
  <c r="M102" i="1" a="1"/>
  <c r="M102" i="1" s="1"/>
  <c r="L102" i="1" a="1"/>
  <c r="L102" i="1" s="1"/>
  <c r="K102" i="1" a="1"/>
  <c r="K102" i="1" s="1"/>
  <c r="J102" i="1" a="1"/>
  <c r="J102" i="1" s="1"/>
  <c r="I102" i="1" a="1"/>
  <c r="I102" i="1" s="1"/>
  <c r="H102" i="1" a="1"/>
  <c r="H102" i="1" s="1"/>
  <c r="BE101" i="1" a="1"/>
  <c r="BE101" i="1" s="1"/>
  <c r="BD101" i="1" a="1"/>
  <c r="BD101" i="1" s="1"/>
  <c r="BC101" i="1" a="1"/>
  <c r="BC101" i="1" s="1"/>
  <c r="BB101" i="1" a="1"/>
  <c r="BB101" i="1" s="1"/>
  <c r="BA101" i="1" a="1"/>
  <c r="BA101" i="1" s="1"/>
  <c r="AZ101" i="1" a="1"/>
  <c r="AZ101" i="1" s="1"/>
  <c r="AY101" i="1" a="1"/>
  <c r="AY101" i="1" s="1"/>
  <c r="AX101" i="1" a="1"/>
  <c r="AX101" i="1" s="1"/>
  <c r="AW101" i="1" a="1"/>
  <c r="AW101" i="1" s="1"/>
  <c r="AV101" i="1" a="1"/>
  <c r="AV101" i="1" s="1"/>
  <c r="AU101" i="1" a="1"/>
  <c r="AU101" i="1" s="1"/>
  <c r="AT101" i="1" a="1"/>
  <c r="AT101" i="1" s="1"/>
  <c r="AS101" i="1" a="1"/>
  <c r="AS101" i="1" s="1"/>
  <c r="AR101" i="1" a="1"/>
  <c r="AR101" i="1" s="1"/>
  <c r="AQ101" i="1" a="1"/>
  <c r="AQ101" i="1" s="1"/>
  <c r="AP101" i="1" a="1"/>
  <c r="AP101" i="1" s="1"/>
  <c r="AO101" i="1" a="1"/>
  <c r="AO101" i="1" s="1"/>
  <c r="AN101" i="1" a="1"/>
  <c r="AN101" i="1" s="1"/>
  <c r="AM101" i="1" a="1"/>
  <c r="AM101" i="1" s="1"/>
  <c r="AL101" i="1" a="1"/>
  <c r="AL101" i="1" s="1"/>
  <c r="AK101" i="1" a="1"/>
  <c r="AK101" i="1" s="1"/>
  <c r="AJ101" i="1" a="1"/>
  <c r="AJ101" i="1" s="1"/>
  <c r="AI101" i="1" a="1"/>
  <c r="AI101" i="1" s="1"/>
  <c r="AH101" i="1" a="1"/>
  <c r="AH101" i="1" s="1"/>
  <c r="AG101" i="1" a="1"/>
  <c r="AG101" i="1" s="1"/>
  <c r="AF101" i="1" a="1"/>
  <c r="AF101" i="1" s="1"/>
  <c r="AE101" i="1" a="1"/>
  <c r="AE101" i="1" s="1"/>
  <c r="AD101" i="1" a="1"/>
  <c r="AD101" i="1" s="1"/>
  <c r="AC101" i="1" a="1"/>
  <c r="AC101" i="1" s="1"/>
  <c r="AB101" i="1" a="1"/>
  <c r="AB101" i="1" s="1"/>
  <c r="AA101" i="1" a="1"/>
  <c r="AA101" i="1" s="1"/>
  <c r="Z101" i="1" a="1"/>
  <c r="Z101" i="1" s="1"/>
  <c r="Y101" i="1" a="1"/>
  <c r="Y101" i="1" s="1"/>
  <c r="X101" i="1" a="1"/>
  <c r="X101" i="1" s="1"/>
  <c r="W101" i="1" a="1"/>
  <c r="W101" i="1" s="1"/>
  <c r="V101" i="1" a="1"/>
  <c r="V101" i="1" s="1"/>
  <c r="U101" i="1" a="1"/>
  <c r="U101" i="1" s="1"/>
  <c r="T101" i="1" a="1"/>
  <c r="T101" i="1" s="1"/>
  <c r="S101" i="1" a="1"/>
  <c r="S101" i="1" s="1"/>
  <c r="R101" i="1" a="1"/>
  <c r="R101" i="1" s="1"/>
  <c r="Q101" i="1" a="1"/>
  <c r="Q101" i="1" s="1"/>
  <c r="P101" i="1" a="1"/>
  <c r="P101" i="1" s="1"/>
  <c r="O101" i="1" a="1"/>
  <c r="O101" i="1" s="1"/>
  <c r="N101" i="1" a="1"/>
  <c r="N101" i="1" s="1"/>
  <c r="M101" i="1" a="1"/>
  <c r="M101" i="1" s="1"/>
  <c r="L101" i="1" a="1"/>
  <c r="L101" i="1" s="1"/>
  <c r="K101" i="1" a="1"/>
  <c r="K101" i="1" s="1"/>
  <c r="J101" i="1" a="1"/>
  <c r="J101" i="1" s="1"/>
  <c r="I101" i="1" a="1"/>
  <c r="I101" i="1" s="1"/>
  <c r="H101" i="1" a="1"/>
  <c r="H101" i="1" s="1"/>
  <c r="BE100" i="1" a="1"/>
  <c r="BE100" i="1" s="1"/>
  <c r="BD100" i="1" a="1"/>
  <c r="BD100" i="1" s="1"/>
  <c r="BC100" i="1" a="1"/>
  <c r="BC100" i="1" s="1"/>
  <c r="BB100" i="1" a="1"/>
  <c r="BB100" i="1" s="1"/>
  <c r="BA100" i="1" a="1"/>
  <c r="BA100" i="1" s="1"/>
  <c r="AZ100" i="1" a="1"/>
  <c r="AZ100" i="1" s="1"/>
  <c r="AY100" i="1" a="1"/>
  <c r="AY100" i="1" s="1"/>
  <c r="AX100" i="1" a="1"/>
  <c r="AX100" i="1" s="1"/>
  <c r="AW100" i="1" a="1"/>
  <c r="AW100" i="1" s="1"/>
  <c r="AV100" i="1" a="1"/>
  <c r="AV100" i="1" s="1"/>
  <c r="AU100" i="1" a="1"/>
  <c r="AU100" i="1" s="1"/>
  <c r="AT100" i="1" a="1"/>
  <c r="AT100" i="1" s="1"/>
  <c r="AS100" i="1" a="1"/>
  <c r="AS100" i="1" s="1"/>
  <c r="AR100" i="1" a="1"/>
  <c r="AR100" i="1" s="1"/>
  <c r="AQ100" i="1" a="1"/>
  <c r="AQ100" i="1" s="1"/>
  <c r="AP100" i="1" a="1"/>
  <c r="AP100" i="1" s="1"/>
  <c r="AO100" i="1" a="1"/>
  <c r="AO100" i="1" s="1"/>
  <c r="AN100" i="1" a="1"/>
  <c r="AN100" i="1" s="1"/>
  <c r="AM100" i="1" a="1"/>
  <c r="AM100" i="1" s="1"/>
  <c r="AL100" i="1" a="1"/>
  <c r="AL100" i="1" s="1"/>
  <c r="AK100" i="1" a="1"/>
  <c r="AK100" i="1" s="1"/>
  <c r="AJ100" i="1" a="1"/>
  <c r="AJ100" i="1" s="1"/>
  <c r="AI100" i="1" a="1"/>
  <c r="AI100" i="1" s="1"/>
  <c r="AH100" i="1" a="1"/>
  <c r="AH100" i="1" s="1"/>
  <c r="AG100" i="1" a="1"/>
  <c r="AG100" i="1" s="1"/>
  <c r="AF100" i="1" a="1"/>
  <c r="AF100" i="1" s="1"/>
  <c r="AE100" i="1" a="1"/>
  <c r="AE100" i="1" s="1"/>
  <c r="AD100" i="1" a="1"/>
  <c r="AD100" i="1" s="1"/>
  <c r="AC100" i="1" a="1"/>
  <c r="AC100" i="1" s="1"/>
  <c r="AB100" i="1" a="1"/>
  <c r="AB100" i="1" s="1"/>
  <c r="AA100" i="1" a="1"/>
  <c r="AA100" i="1" s="1"/>
  <c r="Z100" i="1" a="1"/>
  <c r="Z100" i="1" s="1"/>
  <c r="Y100" i="1" a="1"/>
  <c r="Y100" i="1" s="1"/>
  <c r="X100" i="1" a="1"/>
  <c r="X100" i="1" s="1"/>
  <c r="W100" i="1" a="1"/>
  <c r="W100" i="1" s="1"/>
  <c r="V100" i="1" a="1"/>
  <c r="V100" i="1" s="1"/>
  <c r="U100" i="1" a="1"/>
  <c r="U100" i="1" s="1"/>
  <c r="T100" i="1" a="1"/>
  <c r="T100" i="1" s="1"/>
  <c r="S100" i="1" a="1"/>
  <c r="S100" i="1" s="1"/>
  <c r="R100" i="1" a="1"/>
  <c r="R100" i="1" s="1"/>
  <c r="Q100" i="1" a="1"/>
  <c r="Q100" i="1" s="1"/>
  <c r="P100" i="1" a="1"/>
  <c r="P100" i="1" s="1"/>
  <c r="O100" i="1" a="1"/>
  <c r="O100" i="1" s="1"/>
  <c r="N100" i="1" a="1"/>
  <c r="N100" i="1" s="1"/>
  <c r="M100" i="1" a="1"/>
  <c r="M100" i="1" s="1"/>
  <c r="L100" i="1" a="1"/>
  <c r="L100" i="1" s="1"/>
  <c r="K100" i="1" a="1"/>
  <c r="K100" i="1" s="1"/>
  <c r="J100" i="1" a="1"/>
  <c r="J100" i="1" s="1"/>
  <c r="I100" i="1" a="1"/>
  <c r="I100" i="1" s="1"/>
  <c r="H100" i="1" a="1"/>
  <c r="H100" i="1" s="1"/>
  <c r="BE99" i="1" a="1"/>
  <c r="BE99" i="1" s="1"/>
  <c r="BD99" i="1" a="1"/>
  <c r="BD99" i="1" s="1"/>
  <c r="BC99" i="1" a="1"/>
  <c r="BC99" i="1" s="1"/>
  <c r="BB99" i="1" a="1"/>
  <c r="BB99" i="1" s="1"/>
  <c r="BA99" i="1" a="1"/>
  <c r="BA99" i="1" s="1"/>
  <c r="AZ99" i="1" a="1"/>
  <c r="AZ99" i="1" s="1"/>
  <c r="AY99" i="1" a="1"/>
  <c r="AY99" i="1" s="1"/>
  <c r="AX99" i="1" a="1"/>
  <c r="AX99" i="1" s="1"/>
  <c r="AW99" i="1" a="1"/>
  <c r="AW99" i="1" s="1"/>
  <c r="AV99" i="1" a="1"/>
  <c r="AV99" i="1" s="1"/>
  <c r="AU99" i="1" a="1"/>
  <c r="AU99" i="1" s="1"/>
  <c r="AT99" i="1" a="1"/>
  <c r="AT99" i="1" s="1"/>
  <c r="AS99" i="1" a="1"/>
  <c r="AS99" i="1" s="1"/>
  <c r="AR99" i="1" a="1"/>
  <c r="AR99" i="1" s="1"/>
  <c r="AQ99" i="1" a="1"/>
  <c r="AQ99" i="1" s="1"/>
  <c r="AP99" i="1" a="1"/>
  <c r="AP99" i="1" s="1"/>
  <c r="AO99" i="1" a="1"/>
  <c r="AO99" i="1" s="1"/>
  <c r="AN99" i="1" a="1"/>
  <c r="AN99" i="1" s="1"/>
  <c r="AM99" i="1" a="1"/>
  <c r="AM99" i="1" s="1"/>
  <c r="AL99" i="1" a="1"/>
  <c r="AL99" i="1" s="1"/>
  <c r="AK99" i="1" a="1"/>
  <c r="AK99" i="1" s="1"/>
  <c r="AJ99" i="1" a="1"/>
  <c r="AJ99" i="1" s="1"/>
  <c r="AI99" i="1" a="1"/>
  <c r="AI99" i="1" s="1"/>
  <c r="AH99" i="1" a="1"/>
  <c r="AH99" i="1" s="1"/>
  <c r="AG99" i="1" a="1"/>
  <c r="AG99" i="1" s="1"/>
  <c r="AF99" i="1" a="1"/>
  <c r="AF99" i="1" s="1"/>
  <c r="AE99" i="1" a="1"/>
  <c r="AE99" i="1" s="1"/>
  <c r="AD99" i="1" a="1"/>
  <c r="AD99" i="1" s="1"/>
  <c r="AC99" i="1" a="1"/>
  <c r="AC99" i="1" s="1"/>
  <c r="AB99" i="1" a="1"/>
  <c r="AB99" i="1" s="1"/>
  <c r="AA99" i="1" a="1"/>
  <c r="AA99" i="1" s="1"/>
  <c r="Z99" i="1" a="1"/>
  <c r="Z99" i="1" s="1"/>
  <c r="Y99" i="1" a="1"/>
  <c r="Y99" i="1" s="1"/>
  <c r="X99" i="1" a="1"/>
  <c r="X99" i="1" s="1"/>
  <c r="W99" i="1" a="1"/>
  <c r="W99" i="1" s="1"/>
  <c r="V99" i="1" a="1"/>
  <c r="V99" i="1" s="1"/>
  <c r="U99" i="1" a="1"/>
  <c r="U99" i="1" s="1"/>
  <c r="T99" i="1" a="1"/>
  <c r="T99" i="1" s="1"/>
  <c r="S99" i="1" a="1"/>
  <c r="S99" i="1" s="1"/>
  <c r="R99" i="1" a="1"/>
  <c r="R99" i="1" s="1"/>
  <c r="Q99" i="1" a="1"/>
  <c r="Q99" i="1" s="1"/>
  <c r="P99" i="1" a="1"/>
  <c r="P99" i="1" s="1"/>
  <c r="O99" i="1" a="1"/>
  <c r="O99" i="1" s="1"/>
  <c r="N99" i="1" a="1"/>
  <c r="N99" i="1" s="1"/>
  <c r="M99" i="1" a="1"/>
  <c r="M99" i="1" s="1"/>
  <c r="L99" i="1" a="1"/>
  <c r="L99" i="1" s="1"/>
  <c r="K99" i="1" a="1"/>
  <c r="K99" i="1" s="1"/>
  <c r="J99" i="1" a="1"/>
  <c r="J99" i="1" s="1"/>
  <c r="I99" i="1" a="1"/>
  <c r="I99" i="1" s="1"/>
  <c r="H99" i="1" a="1"/>
  <c r="H99" i="1" s="1"/>
  <c r="BE98" i="1" a="1"/>
  <c r="BE98" i="1" s="1"/>
  <c r="BD98" i="1" a="1"/>
  <c r="BD98" i="1" s="1"/>
  <c r="BC98" i="1" a="1"/>
  <c r="BC98" i="1" s="1"/>
  <c r="BB98" i="1" a="1"/>
  <c r="BB98" i="1" s="1"/>
  <c r="BA98" i="1" a="1"/>
  <c r="BA98" i="1" s="1"/>
  <c r="AZ98" i="1" a="1"/>
  <c r="AZ98" i="1" s="1"/>
  <c r="AY98" i="1" a="1"/>
  <c r="AY98" i="1" s="1"/>
  <c r="AX98" i="1" a="1"/>
  <c r="AX98" i="1" s="1"/>
  <c r="AW98" i="1" a="1"/>
  <c r="AW98" i="1" s="1"/>
  <c r="AV98" i="1" a="1"/>
  <c r="AV98" i="1" s="1"/>
  <c r="AU98" i="1" a="1"/>
  <c r="AU98" i="1" s="1"/>
  <c r="AT98" i="1" a="1"/>
  <c r="AT98" i="1" s="1"/>
  <c r="AS98" i="1" a="1"/>
  <c r="AS98" i="1" s="1"/>
  <c r="AR98" i="1" a="1"/>
  <c r="AR98" i="1" s="1"/>
  <c r="AQ98" i="1" a="1"/>
  <c r="AQ98" i="1" s="1"/>
  <c r="AP98" i="1" a="1"/>
  <c r="AP98" i="1" s="1"/>
  <c r="AO98" i="1" a="1"/>
  <c r="AO98" i="1" s="1"/>
  <c r="AN98" i="1" a="1"/>
  <c r="AN98" i="1" s="1"/>
  <c r="AM98" i="1" a="1"/>
  <c r="AM98" i="1" s="1"/>
  <c r="AL98" i="1" a="1"/>
  <c r="AL98" i="1" s="1"/>
  <c r="AK98" i="1" a="1"/>
  <c r="AK98" i="1" s="1"/>
  <c r="AJ98" i="1" a="1"/>
  <c r="AJ98" i="1" s="1"/>
  <c r="AI98" i="1" a="1"/>
  <c r="AI98" i="1" s="1"/>
  <c r="AH98" i="1" a="1"/>
  <c r="AH98" i="1" s="1"/>
  <c r="AG98" i="1" a="1"/>
  <c r="AG98" i="1" s="1"/>
  <c r="AF98" i="1" a="1"/>
  <c r="AF98" i="1" s="1"/>
  <c r="AE98" i="1" a="1"/>
  <c r="AE98" i="1" s="1"/>
  <c r="AD98" i="1" a="1"/>
  <c r="AD98" i="1" s="1"/>
  <c r="AC98" i="1" a="1"/>
  <c r="AC98" i="1" s="1"/>
  <c r="AB98" i="1" a="1"/>
  <c r="AB98" i="1" s="1"/>
  <c r="AA98" i="1" a="1"/>
  <c r="AA98" i="1" s="1"/>
  <c r="Z98" i="1" a="1"/>
  <c r="Z98" i="1" s="1"/>
  <c r="Y98" i="1" a="1"/>
  <c r="Y98" i="1" s="1"/>
  <c r="X98" i="1" a="1"/>
  <c r="X98" i="1" s="1"/>
  <c r="W98" i="1" a="1"/>
  <c r="W98" i="1" s="1"/>
  <c r="V98" i="1" a="1"/>
  <c r="V98" i="1" s="1"/>
  <c r="U98" i="1" a="1"/>
  <c r="U98" i="1" s="1"/>
  <c r="T98" i="1" a="1"/>
  <c r="T98" i="1" s="1"/>
  <c r="S98" i="1" a="1"/>
  <c r="S98" i="1" s="1"/>
  <c r="R98" i="1" a="1"/>
  <c r="R98" i="1" s="1"/>
  <c r="Q98" i="1" a="1"/>
  <c r="Q98" i="1" s="1"/>
  <c r="P98" i="1" a="1"/>
  <c r="P98" i="1" s="1"/>
  <c r="O98" i="1" a="1"/>
  <c r="O98" i="1" s="1"/>
  <c r="N98" i="1" a="1"/>
  <c r="N98" i="1" s="1"/>
  <c r="M98" i="1" a="1"/>
  <c r="M98" i="1" s="1"/>
  <c r="L98" i="1" a="1"/>
  <c r="L98" i="1" s="1"/>
  <c r="K98" i="1" a="1"/>
  <c r="K98" i="1" s="1"/>
  <c r="J98" i="1" a="1"/>
  <c r="J98" i="1" s="1"/>
  <c r="I98" i="1" a="1"/>
  <c r="I98" i="1" s="1"/>
  <c r="H98" i="1" a="1"/>
  <c r="H98" i="1" s="1"/>
  <c r="BE97" i="1" a="1"/>
  <c r="BE97" i="1" s="1"/>
  <c r="BD97" i="1" a="1"/>
  <c r="BD97" i="1" s="1"/>
  <c r="BC97" i="1" a="1"/>
  <c r="BC97" i="1" s="1"/>
  <c r="BB97" i="1" a="1"/>
  <c r="BB97" i="1" s="1"/>
  <c r="BA97" i="1" a="1"/>
  <c r="BA97" i="1" s="1"/>
  <c r="AZ97" i="1" a="1"/>
  <c r="AZ97" i="1" s="1"/>
  <c r="AY97" i="1" a="1"/>
  <c r="AY97" i="1" s="1"/>
  <c r="AX97" i="1" a="1"/>
  <c r="AX97" i="1" s="1"/>
  <c r="AW97" i="1" a="1"/>
  <c r="AW97" i="1" s="1"/>
  <c r="AV97" i="1" a="1"/>
  <c r="AV97" i="1" s="1"/>
  <c r="AU97" i="1" a="1"/>
  <c r="AU97" i="1" s="1"/>
  <c r="AT97" i="1" a="1"/>
  <c r="AT97" i="1" s="1"/>
  <c r="AS97" i="1" a="1"/>
  <c r="AS97" i="1" s="1"/>
  <c r="AR97" i="1" a="1"/>
  <c r="AR97" i="1" s="1"/>
  <c r="AQ97" i="1" a="1"/>
  <c r="AQ97" i="1" s="1"/>
  <c r="AP97" i="1" a="1"/>
  <c r="AP97" i="1" s="1"/>
  <c r="AO97" i="1" a="1"/>
  <c r="AO97" i="1" s="1"/>
  <c r="AN97" i="1" a="1"/>
  <c r="AN97" i="1" s="1"/>
  <c r="AM97" i="1" a="1"/>
  <c r="AM97" i="1" s="1"/>
  <c r="AL97" i="1" a="1"/>
  <c r="AL97" i="1" s="1"/>
  <c r="AK97" i="1" a="1"/>
  <c r="AK97" i="1" s="1"/>
  <c r="AJ97" i="1" a="1"/>
  <c r="AJ97" i="1" s="1"/>
  <c r="AI97" i="1" a="1"/>
  <c r="AI97" i="1" s="1"/>
  <c r="AH97" i="1" a="1"/>
  <c r="AH97" i="1" s="1"/>
  <c r="AG97" i="1" a="1"/>
  <c r="AG97" i="1" s="1"/>
  <c r="AF97" i="1" a="1"/>
  <c r="AF97" i="1" s="1"/>
  <c r="AE97" i="1" a="1"/>
  <c r="AE97" i="1" s="1"/>
  <c r="AD97" i="1" a="1"/>
  <c r="AD97" i="1" s="1"/>
  <c r="AC97" i="1" a="1"/>
  <c r="AC97" i="1" s="1"/>
  <c r="AB97" i="1" a="1"/>
  <c r="AB97" i="1" s="1"/>
  <c r="AA97" i="1" a="1"/>
  <c r="AA97" i="1" s="1"/>
  <c r="Z97" i="1" a="1"/>
  <c r="Z97" i="1" s="1"/>
  <c r="Y97" i="1" a="1"/>
  <c r="Y97" i="1" s="1"/>
  <c r="X97" i="1" a="1"/>
  <c r="X97" i="1" s="1"/>
  <c r="W97" i="1" a="1"/>
  <c r="W97" i="1" s="1"/>
  <c r="V97" i="1" a="1"/>
  <c r="V97" i="1" s="1"/>
  <c r="U97" i="1" a="1"/>
  <c r="U97" i="1" s="1"/>
  <c r="T97" i="1" a="1"/>
  <c r="T97" i="1" s="1"/>
  <c r="S97" i="1" a="1"/>
  <c r="S97" i="1" s="1"/>
  <c r="R97" i="1" a="1"/>
  <c r="R97" i="1" s="1"/>
  <c r="Q97" i="1" a="1"/>
  <c r="Q97" i="1" s="1"/>
  <c r="P97" i="1" a="1"/>
  <c r="P97" i="1" s="1"/>
  <c r="O97" i="1" a="1"/>
  <c r="O97" i="1" s="1"/>
  <c r="N97" i="1" a="1"/>
  <c r="N97" i="1" s="1"/>
  <c r="M97" i="1" a="1"/>
  <c r="M97" i="1" s="1"/>
  <c r="L97" i="1" a="1"/>
  <c r="L97" i="1" s="1"/>
  <c r="K97" i="1" a="1"/>
  <c r="K97" i="1" s="1"/>
  <c r="J97" i="1" a="1"/>
  <c r="J97" i="1" s="1"/>
  <c r="I97" i="1" a="1"/>
  <c r="I97" i="1" s="1"/>
  <c r="H97" i="1" a="1"/>
  <c r="H97" i="1" s="1"/>
  <c r="BE96" i="1" a="1"/>
  <c r="BE96" i="1" s="1"/>
  <c r="BD96" i="1" a="1"/>
  <c r="BD96" i="1" s="1"/>
  <c r="BC96" i="1" a="1"/>
  <c r="BC96" i="1" s="1"/>
  <c r="BB96" i="1" a="1"/>
  <c r="BB96" i="1" s="1"/>
  <c r="BA96" i="1" a="1"/>
  <c r="BA96" i="1" s="1"/>
  <c r="AZ96" i="1" a="1"/>
  <c r="AZ96" i="1" s="1"/>
  <c r="AY96" i="1" a="1"/>
  <c r="AY96" i="1" s="1"/>
  <c r="AX96" i="1" a="1"/>
  <c r="AX96" i="1" s="1"/>
  <c r="AW96" i="1" a="1"/>
  <c r="AW96" i="1" s="1"/>
  <c r="AV96" i="1" a="1"/>
  <c r="AV96" i="1" s="1"/>
  <c r="AU96" i="1" a="1"/>
  <c r="AU96" i="1" s="1"/>
  <c r="AT96" i="1" a="1"/>
  <c r="AT96" i="1" s="1"/>
  <c r="AS96" i="1" a="1"/>
  <c r="AS96" i="1" s="1"/>
  <c r="AR96" i="1" a="1"/>
  <c r="AR96" i="1" s="1"/>
  <c r="AQ96" i="1" a="1"/>
  <c r="AQ96" i="1" s="1"/>
  <c r="AP96" i="1" a="1"/>
  <c r="AP96" i="1" s="1"/>
  <c r="AO96" i="1" a="1"/>
  <c r="AO96" i="1" s="1"/>
  <c r="AN96" i="1" a="1"/>
  <c r="AN96" i="1" s="1"/>
  <c r="AM96" i="1" a="1"/>
  <c r="AM96" i="1" s="1"/>
  <c r="AL96" i="1" a="1"/>
  <c r="AL96" i="1" s="1"/>
  <c r="AK96" i="1" a="1"/>
  <c r="AK96" i="1" s="1"/>
  <c r="AJ96" i="1" a="1"/>
  <c r="AJ96" i="1" s="1"/>
  <c r="AI96" i="1" a="1"/>
  <c r="AI96" i="1" s="1"/>
  <c r="AH96" i="1" a="1"/>
  <c r="AH96" i="1" s="1"/>
  <c r="AG96" i="1" a="1"/>
  <c r="AG96" i="1" s="1"/>
  <c r="AF96" i="1" a="1"/>
  <c r="AF96" i="1" s="1"/>
  <c r="AE96" i="1" a="1"/>
  <c r="AE96" i="1" s="1"/>
  <c r="AD96" i="1" a="1"/>
  <c r="AD96" i="1" s="1"/>
  <c r="AC96" i="1" a="1"/>
  <c r="AC96" i="1" s="1"/>
  <c r="AB96" i="1" a="1"/>
  <c r="AB96" i="1" s="1"/>
  <c r="AA96" i="1" a="1"/>
  <c r="AA96" i="1" s="1"/>
  <c r="Z96" i="1" a="1"/>
  <c r="Z96" i="1" s="1"/>
  <c r="Y96" i="1" a="1"/>
  <c r="Y96" i="1" s="1"/>
  <c r="X96" i="1" a="1"/>
  <c r="X96" i="1" s="1"/>
  <c r="W96" i="1" a="1"/>
  <c r="W96" i="1" s="1"/>
  <c r="V96" i="1" a="1"/>
  <c r="V96" i="1" s="1"/>
  <c r="U96" i="1" a="1"/>
  <c r="U96" i="1" s="1"/>
  <c r="T96" i="1" a="1"/>
  <c r="T96" i="1" s="1"/>
  <c r="S96" i="1" a="1"/>
  <c r="S96" i="1" s="1"/>
  <c r="R96" i="1" a="1"/>
  <c r="R96" i="1" s="1"/>
  <c r="Q96" i="1" a="1"/>
  <c r="Q96" i="1" s="1"/>
  <c r="P96" i="1" a="1"/>
  <c r="P96" i="1" s="1"/>
  <c r="O96" i="1" a="1"/>
  <c r="O96" i="1" s="1"/>
  <c r="N96" i="1" a="1"/>
  <c r="N96" i="1" s="1"/>
  <c r="M96" i="1" a="1"/>
  <c r="M96" i="1" s="1"/>
  <c r="L96" i="1" a="1"/>
  <c r="L96" i="1" s="1"/>
  <c r="K96" i="1" a="1"/>
  <c r="K96" i="1" s="1"/>
  <c r="J96" i="1" a="1"/>
  <c r="J96" i="1" s="1"/>
  <c r="I96" i="1" a="1"/>
  <c r="I96" i="1" s="1"/>
  <c r="H96" i="1" a="1"/>
  <c r="H96" i="1" s="1"/>
  <c r="BE95" i="1" a="1"/>
  <c r="BE95" i="1" s="1"/>
  <c r="BD95" i="1" a="1"/>
  <c r="BD95" i="1" s="1"/>
  <c r="BC95" i="1" a="1"/>
  <c r="BC95" i="1" s="1"/>
  <c r="BB95" i="1" a="1"/>
  <c r="BB95" i="1" s="1"/>
  <c r="BA95" i="1" a="1"/>
  <c r="BA95" i="1" s="1"/>
  <c r="AZ95" i="1" a="1"/>
  <c r="AZ95" i="1" s="1"/>
  <c r="AY95" i="1" a="1"/>
  <c r="AY95" i="1" s="1"/>
  <c r="AX95" i="1" a="1"/>
  <c r="AX95" i="1" s="1"/>
  <c r="AW95" i="1" a="1"/>
  <c r="AW95" i="1" s="1"/>
  <c r="AV95" i="1" a="1"/>
  <c r="AV95" i="1" s="1"/>
  <c r="AU95" i="1" a="1"/>
  <c r="AU95" i="1" s="1"/>
  <c r="AT95" i="1" a="1"/>
  <c r="AT95" i="1" s="1"/>
  <c r="AS95" i="1" a="1"/>
  <c r="AS95" i="1" s="1"/>
  <c r="AR95" i="1" a="1"/>
  <c r="AR95" i="1" s="1"/>
  <c r="AQ95" i="1" a="1"/>
  <c r="AQ95" i="1" s="1"/>
  <c r="AP95" i="1" a="1"/>
  <c r="AP95" i="1" s="1"/>
  <c r="AO95" i="1" a="1"/>
  <c r="AO95" i="1" s="1"/>
  <c r="AN95" i="1" a="1"/>
  <c r="AN95" i="1" s="1"/>
  <c r="AM95" i="1" a="1"/>
  <c r="AM95" i="1" s="1"/>
  <c r="AL95" i="1" a="1"/>
  <c r="AL95" i="1" s="1"/>
  <c r="AK95" i="1" a="1"/>
  <c r="AK95" i="1" s="1"/>
  <c r="AJ95" i="1" a="1"/>
  <c r="AJ95" i="1" s="1"/>
  <c r="AI95" i="1" a="1"/>
  <c r="AI95" i="1" s="1"/>
  <c r="AH95" i="1" a="1"/>
  <c r="AH95" i="1" s="1"/>
  <c r="AG95" i="1" a="1"/>
  <c r="AG95" i="1" s="1"/>
  <c r="AF95" i="1" a="1"/>
  <c r="AF95" i="1" s="1"/>
  <c r="AE95" i="1" a="1"/>
  <c r="AE95" i="1" s="1"/>
  <c r="AD95" i="1" a="1"/>
  <c r="AD95" i="1" s="1"/>
  <c r="AC95" i="1" a="1"/>
  <c r="AC95" i="1" s="1"/>
  <c r="AB95" i="1" a="1"/>
  <c r="AB95" i="1" s="1"/>
  <c r="AA95" i="1" a="1"/>
  <c r="AA95" i="1" s="1"/>
  <c r="Z95" i="1" a="1"/>
  <c r="Z95" i="1" s="1"/>
  <c r="Y95" i="1" a="1"/>
  <c r="Y95" i="1" s="1"/>
  <c r="X95" i="1" a="1"/>
  <c r="X95" i="1" s="1"/>
  <c r="W95" i="1" a="1"/>
  <c r="W95" i="1" s="1"/>
  <c r="V95" i="1" a="1"/>
  <c r="V95" i="1" s="1"/>
  <c r="U95" i="1" a="1"/>
  <c r="U95" i="1" s="1"/>
  <c r="T95" i="1" a="1"/>
  <c r="T95" i="1" s="1"/>
  <c r="S95" i="1" a="1"/>
  <c r="S95" i="1" s="1"/>
  <c r="R95" i="1" a="1"/>
  <c r="R95" i="1" s="1"/>
  <c r="Q95" i="1" a="1"/>
  <c r="Q95" i="1" s="1"/>
  <c r="P95" i="1" a="1"/>
  <c r="P95" i="1" s="1"/>
  <c r="O95" i="1" a="1"/>
  <c r="O95" i="1" s="1"/>
  <c r="N95" i="1" a="1"/>
  <c r="N95" i="1" s="1"/>
  <c r="M95" i="1" a="1"/>
  <c r="M95" i="1" s="1"/>
  <c r="L95" i="1" a="1"/>
  <c r="L95" i="1" s="1"/>
  <c r="K95" i="1" a="1"/>
  <c r="K95" i="1" s="1"/>
  <c r="J95" i="1" a="1"/>
  <c r="J95" i="1" s="1"/>
  <c r="I95" i="1" a="1"/>
  <c r="I95" i="1" s="1"/>
  <c r="H95" i="1" a="1"/>
  <c r="H95" i="1" s="1"/>
  <c r="BE94" i="1" a="1"/>
  <c r="BE94" i="1" s="1"/>
  <c r="BD94" i="1" a="1"/>
  <c r="BD94" i="1" s="1"/>
  <c r="BC94" i="1" a="1"/>
  <c r="BC94" i="1" s="1"/>
  <c r="BB94" i="1" a="1"/>
  <c r="BB94" i="1" s="1"/>
  <c r="BA94" i="1" a="1"/>
  <c r="BA94" i="1" s="1"/>
  <c r="AZ94" i="1" a="1"/>
  <c r="AZ94" i="1" s="1"/>
  <c r="AY94" i="1" a="1"/>
  <c r="AY94" i="1" s="1"/>
  <c r="AX94" i="1" a="1"/>
  <c r="AX94" i="1" s="1"/>
  <c r="AW94" i="1" a="1"/>
  <c r="AW94" i="1" s="1"/>
  <c r="AV94" i="1" a="1"/>
  <c r="AV94" i="1" s="1"/>
  <c r="AU94" i="1" a="1"/>
  <c r="AU94" i="1" s="1"/>
  <c r="AT94" i="1" a="1"/>
  <c r="AT94" i="1" s="1"/>
  <c r="AS94" i="1" a="1"/>
  <c r="AS94" i="1" s="1"/>
  <c r="AR94" i="1" a="1"/>
  <c r="AR94" i="1" s="1"/>
  <c r="AQ94" i="1" a="1"/>
  <c r="AQ94" i="1" s="1"/>
  <c r="AP94" i="1" a="1"/>
  <c r="AP94" i="1" s="1"/>
  <c r="AO94" i="1" a="1"/>
  <c r="AO94" i="1" s="1"/>
  <c r="AN94" i="1" a="1"/>
  <c r="AN94" i="1" s="1"/>
  <c r="AM94" i="1" a="1"/>
  <c r="AM94" i="1" s="1"/>
  <c r="AL94" i="1" a="1"/>
  <c r="AL94" i="1" s="1"/>
  <c r="AK94" i="1" a="1"/>
  <c r="AK94" i="1" s="1"/>
  <c r="AJ94" i="1" a="1"/>
  <c r="AJ94" i="1" s="1"/>
  <c r="AI94" i="1" a="1"/>
  <c r="AI94" i="1" s="1"/>
  <c r="AH94" i="1" a="1"/>
  <c r="AH94" i="1" s="1"/>
  <c r="AG94" i="1" a="1"/>
  <c r="AG94" i="1" s="1"/>
  <c r="AF94" i="1" a="1"/>
  <c r="AF94" i="1" s="1"/>
  <c r="AE94" i="1" a="1"/>
  <c r="AE94" i="1" s="1"/>
  <c r="AD94" i="1" a="1"/>
  <c r="AD94" i="1" s="1"/>
  <c r="AC94" i="1" a="1"/>
  <c r="AC94" i="1" s="1"/>
  <c r="AB94" i="1" a="1"/>
  <c r="AB94" i="1" s="1"/>
  <c r="AA94" i="1" a="1"/>
  <c r="AA94" i="1" s="1"/>
  <c r="Z94" i="1" a="1"/>
  <c r="Z94" i="1" s="1"/>
  <c r="Y94" i="1" a="1"/>
  <c r="Y94" i="1" s="1"/>
  <c r="X94" i="1" a="1"/>
  <c r="X94" i="1" s="1"/>
  <c r="W94" i="1" a="1"/>
  <c r="W94" i="1" s="1"/>
  <c r="V94" i="1" a="1"/>
  <c r="V94" i="1" s="1"/>
  <c r="U94" i="1" a="1"/>
  <c r="U94" i="1" s="1"/>
  <c r="T94" i="1" a="1"/>
  <c r="T94" i="1" s="1"/>
  <c r="S94" i="1" a="1"/>
  <c r="S94" i="1" s="1"/>
  <c r="R94" i="1" a="1"/>
  <c r="R94" i="1" s="1"/>
  <c r="Q94" i="1" a="1"/>
  <c r="Q94" i="1" s="1"/>
  <c r="P94" i="1" a="1"/>
  <c r="P94" i="1" s="1"/>
  <c r="O94" i="1" a="1"/>
  <c r="O94" i="1" s="1"/>
  <c r="N94" i="1" a="1"/>
  <c r="N94" i="1" s="1"/>
  <c r="M94" i="1" a="1"/>
  <c r="M94" i="1" s="1"/>
  <c r="L94" i="1" a="1"/>
  <c r="L94" i="1" s="1"/>
  <c r="K94" i="1" a="1"/>
  <c r="K94" i="1" s="1"/>
  <c r="J94" i="1" a="1"/>
  <c r="J94" i="1" s="1"/>
  <c r="I94" i="1" a="1"/>
  <c r="I94" i="1" s="1"/>
  <c r="H94" i="1" a="1"/>
  <c r="H94" i="1" s="1"/>
  <c r="BE93" i="1" a="1"/>
  <c r="BE93" i="1" s="1"/>
  <c r="BD93" i="1" a="1"/>
  <c r="BD93" i="1" s="1"/>
  <c r="BC93" i="1" a="1"/>
  <c r="BC93" i="1" s="1"/>
  <c r="BB93" i="1" a="1"/>
  <c r="BB93" i="1" s="1"/>
  <c r="BA93" i="1" a="1"/>
  <c r="BA93" i="1" s="1"/>
  <c r="AZ93" i="1" a="1"/>
  <c r="AZ93" i="1" s="1"/>
  <c r="AY93" i="1" a="1"/>
  <c r="AY93" i="1" s="1"/>
  <c r="AX93" i="1" a="1"/>
  <c r="AX93" i="1" s="1"/>
  <c r="AW93" i="1" a="1"/>
  <c r="AW93" i="1" s="1"/>
  <c r="AV93" i="1" a="1"/>
  <c r="AV93" i="1" s="1"/>
  <c r="AU93" i="1" a="1"/>
  <c r="AU93" i="1" s="1"/>
  <c r="AT93" i="1" a="1"/>
  <c r="AT93" i="1" s="1"/>
  <c r="AS93" i="1" a="1"/>
  <c r="AS93" i="1" s="1"/>
  <c r="AR93" i="1" a="1"/>
  <c r="AR93" i="1" s="1"/>
  <c r="AQ93" i="1" a="1"/>
  <c r="AQ93" i="1" s="1"/>
  <c r="AP93" i="1" a="1"/>
  <c r="AP93" i="1" s="1"/>
  <c r="AO93" i="1" a="1"/>
  <c r="AO93" i="1" s="1"/>
  <c r="AN93" i="1" a="1"/>
  <c r="AN93" i="1" s="1"/>
  <c r="AM93" i="1" a="1"/>
  <c r="AM93" i="1" s="1"/>
  <c r="AL93" i="1" a="1"/>
  <c r="AL93" i="1" s="1"/>
  <c r="AK93" i="1" a="1"/>
  <c r="AK93" i="1" s="1"/>
  <c r="AJ93" i="1" a="1"/>
  <c r="AJ93" i="1" s="1"/>
  <c r="AI93" i="1" a="1"/>
  <c r="AI93" i="1" s="1"/>
  <c r="AH93" i="1" a="1"/>
  <c r="AH93" i="1" s="1"/>
  <c r="AG93" i="1" a="1"/>
  <c r="AG93" i="1" s="1"/>
  <c r="AF93" i="1" a="1"/>
  <c r="AF93" i="1" s="1"/>
  <c r="AE93" i="1" a="1"/>
  <c r="AE93" i="1" s="1"/>
  <c r="AD93" i="1" a="1"/>
  <c r="AD93" i="1" s="1"/>
  <c r="AC93" i="1" a="1"/>
  <c r="AC93" i="1" s="1"/>
  <c r="AB93" i="1" a="1"/>
  <c r="AB93" i="1" s="1"/>
  <c r="AA93" i="1" a="1"/>
  <c r="AA93" i="1" s="1"/>
  <c r="Z93" i="1" a="1"/>
  <c r="Z93" i="1" s="1"/>
  <c r="Y93" i="1" a="1"/>
  <c r="Y93" i="1" s="1"/>
  <c r="X93" i="1" a="1"/>
  <c r="X93" i="1" s="1"/>
  <c r="W93" i="1" a="1"/>
  <c r="W93" i="1" s="1"/>
  <c r="V93" i="1" a="1"/>
  <c r="V93" i="1" s="1"/>
  <c r="U93" i="1" a="1"/>
  <c r="U93" i="1" s="1"/>
  <c r="T93" i="1" a="1"/>
  <c r="T93" i="1" s="1"/>
  <c r="S93" i="1" a="1"/>
  <c r="S93" i="1" s="1"/>
  <c r="R93" i="1" a="1"/>
  <c r="R93" i="1" s="1"/>
  <c r="Q93" i="1" a="1"/>
  <c r="Q93" i="1" s="1"/>
  <c r="P93" i="1" a="1"/>
  <c r="P93" i="1" s="1"/>
  <c r="O93" i="1" a="1"/>
  <c r="O93" i="1" s="1"/>
  <c r="N93" i="1" a="1"/>
  <c r="N93" i="1" s="1"/>
  <c r="M93" i="1" a="1"/>
  <c r="M93" i="1" s="1"/>
  <c r="L93" i="1" a="1"/>
  <c r="L93" i="1" s="1"/>
  <c r="K93" i="1" a="1"/>
  <c r="K93" i="1" s="1"/>
  <c r="J93" i="1" a="1"/>
  <c r="J93" i="1" s="1"/>
  <c r="I93" i="1" a="1"/>
  <c r="I93" i="1" s="1"/>
  <c r="H93" i="1" a="1"/>
  <c r="H93" i="1" s="1"/>
  <c r="BE92" i="1" a="1"/>
  <c r="BE92" i="1" s="1"/>
  <c r="BD92" i="1" a="1"/>
  <c r="BD92" i="1" s="1"/>
  <c r="BC92" i="1" a="1"/>
  <c r="BC92" i="1" s="1"/>
  <c r="BB92" i="1" a="1"/>
  <c r="BB92" i="1" s="1"/>
  <c r="BA92" i="1" a="1"/>
  <c r="BA92" i="1" s="1"/>
  <c r="AZ92" i="1" a="1"/>
  <c r="AZ92" i="1" s="1"/>
  <c r="AY92" i="1" a="1"/>
  <c r="AY92" i="1" s="1"/>
  <c r="AX92" i="1" a="1"/>
  <c r="AX92" i="1" s="1"/>
  <c r="AW92" i="1" a="1"/>
  <c r="AW92" i="1" s="1"/>
  <c r="AV92" i="1" a="1"/>
  <c r="AV92" i="1" s="1"/>
  <c r="AU92" i="1" a="1"/>
  <c r="AU92" i="1" s="1"/>
  <c r="AT92" i="1" a="1"/>
  <c r="AT92" i="1" s="1"/>
  <c r="AS92" i="1" a="1"/>
  <c r="AS92" i="1" s="1"/>
  <c r="AR92" i="1" a="1"/>
  <c r="AR92" i="1" s="1"/>
  <c r="AQ92" i="1" a="1"/>
  <c r="AQ92" i="1" s="1"/>
  <c r="AP92" i="1" a="1"/>
  <c r="AP92" i="1" s="1"/>
  <c r="AO92" i="1" a="1"/>
  <c r="AO92" i="1" s="1"/>
  <c r="AN92" i="1" a="1"/>
  <c r="AN92" i="1" s="1"/>
  <c r="AM92" i="1" a="1"/>
  <c r="AM92" i="1" s="1"/>
  <c r="AL92" i="1" a="1"/>
  <c r="AL92" i="1" s="1"/>
  <c r="AK92" i="1" a="1"/>
  <c r="AK92" i="1" s="1"/>
  <c r="AJ92" i="1" a="1"/>
  <c r="AJ92" i="1" s="1"/>
  <c r="AI92" i="1" a="1"/>
  <c r="AI92" i="1" s="1"/>
  <c r="AH92" i="1" a="1"/>
  <c r="AH92" i="1" s="1"/>
  <c r="AG92" i="1" a="1"/>
  <c r="AG92" i="1" s="1"/>
  <c r="AF92" i="1" a="1"/>
  <c r="AF92" i="1" s="1"/>
  <c r="AE92" i="1" a="1"/>
  <c r="AE92" i="1" s="1"/>
  <c r="AD92" i="1" a="1"/>
  <c r="AD92" i="1" s="1"/>
  <c r="AC92" i="1" a="1"/>
  <c r="AC92" i="1" s="1"/>
  <c r="AB92" i="1" a="1"/>
  <c r="AB92" i="1" s="1"/>
  <c r="AA92" i="1" a="1"/>
  <c r="AA92" i="1" s="1"/>
  <c r="Z92" i="1" a="1"/>
  <c r="Z92" i="1" s="1"/>
  <c r="Y92" i="1" a="1"/>
  <c r="Y92" i="1" s="1"/>
  <c r="X92" i="1" a="1"/>
  <c r="X92" i="1" s="1"/>
  <c r="W92" i="1" a="1"/>
  <c r="W92" i="1" s="1"/>
  <c r="V92" i="1" a="1"/>
  <c r="V92" i="1" s="1"/>
  <c r="U92" i="1" a="1"/>
  <c r="U92" i="1" s="1"/>
  <c r="T92" i="1" a="1"/>
  <c r="T92" i="1" s="1"/>
  <c r="S92" i="1" a="1"/>
  <c r="S92" i="1" s="1"/>
  <c r="R92" i="1" a="1"/>
  <c r="R92" i="1" s="1"/>
  <c r="Q92" i="1" a="1"/>
  <c r="Q92" i="1" s="1"/>
  <c r="P92" i="1" a="1"/>
  <c r="P92" i="1" s="1"/>
  <c r="O92" i="1" a="1"/>
  <c r="O92" i="1" s="1"/>
  <c r="N92" i="1" a="1"/>
  <c r="N92" i="1" s="1"/>
  <c r="M92" i="1" a="1"/>
  <c r="M92" i="1" s="1"/>
  <c r="L92" i="1" a="1"/>
  <c r="L92" i="1" s="1"/>
  <c r="K92" i="1" a="1"/>
  <c r="K92" i="1" s="1"/>
  <c r="J92" i="1" a="1"/>
  <c r="J92" i="1" s="1"/>
  <c r="I92" i="1" a="1"/>
  <c r="I92" i="1" s="1"/>
  <c r="H92" i="1" a="1"/>
  <c r="H92" i="1" s="1"/>
  <c r="BE91" i="1" a="1"/>
  <c r="BE91" i="1" s="1"/>
  <c r="BD91" i="1" a="1"/>
  <c r="BD91" i="1" s="1"/>
  <c r="BC91" i="1" a="1"/>
  <c r="BC91" i="1" s="1"/>
  <c r="BB91" i="1" a="1"/>
  <c r="BB91" i="1" s="1"/>
  <c r="BA91" i="1" a="1"/>
  <c r="BA91" i="1" s="1"/>
  <c r="AZ91" i="1" a="1"/>
  <c r="AZ91" i="1" s="1"/>
  <c r="AY91" i="1" a="1"/>
  <c r="AY91" i="1" s="1"/>
  <c r="AX91" i="1" a="1"/>
  <c r="AX91" i="1" s="1"/>
  <c r="AW91" i="1" a="1"/>
  <c r="AW91" i="1" s="1"/>
  <c r="AV91" i="1" a="1"/>
  <c r="AV91" i="1" s="1"/>
  <c r="AU91" i="1" a="1"/>
  <c r="AU91" i="1" s="1"/>
  <c r="AT91" i="1" a="1"/>
  <c r="AT91" i="1" s="1"/>
  <c r="AS91" i="1" a="1"/>
  <c r="AS91" i="1" s="1"/>
  <c r="AR91" i="1" a="1"/>
  <c r="AR91" i="1" s="1"/>
  <c r="AQ91" i="1" a="1"/>
  <c r="AQ91" i="1" s="1"/>
  <c r="AP91" i="1" a="1"/>
  <c r="AP91" i="1" s="1"/>
  <c r="AO91" i="1" a="1"/>
  <c r="AO91" i="1" s="1"/>
  <c r="AN91" i="1" a="1"/>
  <c r="AN91" i="1" s="1"/>
  <c r="AM91" i="1" a="1"/>
  <c r="AM91" i="1" s="1"/>
  <c r="AL91" i="1" a="1"/>
  <c r="AL91" i="1" s="1"/>
  <c r="AK91" i="1" a="1"/>
  <c r="AK91" i="1" s="1"/>
  <c r="AJ91" i="1" a="1"/>
  <c r="AJ91" i="1" s="1"/>
  <c r="AI91" i="1" a="1"/>
  <c r="AI91" i="1" s="1"/>
  <c r="AH91" i="1" a="1"/>
  <c r="AH91" i="1" s="1"/>
  <c r="AG91" i="1" a="1"/>
  <c r="AG91" i="1" s="1"/>
  <c r="AF91" i="1" a="1"/>
  <c r="AF91" i="1" s="1"/>
  <c r="AE91" i="1" a="1"/>
  <c r="AE91" i="1" s="1"/>
  <c r="AD91" i="1" a="1"/>
  <c r="AD91" i="1" s="1"/>
  <c r="AC91" i="1" a="1"/>
  <c r="AC91" i="1" s="1"/>
  <c r="AB91" i="1" a="1"/>
  <c r="AB91" i="1" s="1"/>
  <c r="AA91" i="1" a="1"/>
  <c r="AA91" i="1" s="1"/>
  <c r="Z91" i="1" a="1"/>
  <c r="Z91" i="1" s="1"/>
  <c r="Y91" i="1" a="1"/>
  <c r="Y91" i="1" s="1"/>
  <c r="X91" i="1" a="1"/>
  <c r="X91" i="1" s="1"/>
  <c r="W91" i="1" a="1"/>
  <c r="W91" i="1" s="1"/>
  <c r="V91" i="1" a="1"/>
  <c r="V91" i="1" s="1"/>
  <c r="U91" i="1" a="1"/>
  <c r="U91" i="1" s="1"/>
  <c r="T91" i="1" a="1"/>
  <c r="T91" i="1" s="1"/>
  <c r="S91" i="1" a="1"/>
  <c r="S91" i="1" s="1"/>
  <c r="R91" i="1" a="1"/>
  <c r="R91" i="1" s="1"/>
  <c r="Q91" i="1" a="1"/>
  <c r="Q91" i="1" s="1"/>
  <c r="P91" i="1" a="1"/>
  <c r="P91" i="1" s="1"/>
  <c r="O91" i="1" a="1"/>
  <c r="O91" i="1" s="1"/>
  <c r="N91" i="1" a="1"/>
  <c r="N91" i="1" s="1"/>
  <c r="M91" i="1" a="1"/>
  <c r="M91" i="1" s="1"/>
  <c r="L91" i="1" a="1"/>
  <c r="L91" i="1" s="1"/>
  <c r="K91" i="1" a="1"/>
  <c r="K91" i="1" s="1"/>
  <c r="J91" i="1" a="1"/>
  <c r="J91" i="1" s="1"/>
  <c r="I91" i="1" a="1"/>
  <c r="I91" i="1" s="1"/>
  <c r="H91" i="1" a="1"/>
  <c r="H91" i="1" s="1"/>
  <c r="O127" i="1" l="1"/>
  <c r="O129" i="1" s="1"/>
  <c r="O128" i="1"/>
  <c r="O130" i="1" s="1"/>
  <c r="AQ127" i="1"/>
  <c r="AQ129" i="1" s="1"/>
  <c r="AQ128" i="1"/>
  <c r="AQ130" i="1" s="1"/>
  <c r="W127" i="1"/>
  <c r="W129" i="1" s="1"/>
  <c r="W128" i="1"/>
  <c r="W130" i="1" s="1"/>
  <c r="K127" i="1"/>
  <c r="K129" i="1" s="1"/>
  <c r="K128" i="1"/>
  <c r="K130" i="1" s="1"/>
  <c r="AU127" i="1"/>
  <c r="AU129" i="1" s="1"/>
  <c r="AU128" i="1"/>
  <c r="AU130" i="1" s="1"/>
  <c r="AA127" i="1"/>
  <c r="AA129" i="1" s="1"/>
  <c r="AA128" i="1"/>
  <c r="AA130" i="1" s="1"/>
  <c r="BC127" i="1"/>
  <c r="BC129" i="1" s="1"/>
  <c r="BC128" i="1"/>
  <c r="BC130" i="1" s="1"/>
  <c r="Q127" i="1"/>
  <c r="Q129" i="1" s="1"/>
  <c r="Q128" i="1"/>
  <c r="Q130" i="1" s="1"/>
  <c r="AD127" i="1"/>
  <c r="AD129" i="1" s="1"/>
  <c r="AD128" i="1"/>
  <c r="AD130" i="1" s="1"/>
  <c r="AJ128" i="1"/>
  <c r="AJ130" i="1" s="1"/>
  <c r="AJ127" i="1"/>
  <c r="AJ129" i="1" s="1"/>
  <c r="AW127" i="1"/>
  <c r="AW129" i="1" s="1"/>
  <c r="AW128" i="1"/>
  <c r="AW130" i="1" s="1"/>
  <c r="J127" i="1"/>
  <c r="J129" i="1" s="1"/>
  <c r="J128" i="1"/>
  <c r="J130" i="1" s="1"/>
  <c r="AI127" i="1"/>
  <c r="AI129" i="1" s="1"/>
  <c r="AI128" i="1"/>
  <c r="AI130" i="1" s="1"/>
  <c r="R127" i="1"/>
  <c r="R129" i="1" s="1"/>
  <c r="R128" i="1"/>
  <c r="R130" i="1" s="1"/>
  <c r="X127" i="1"/>
  <c r="X129" i="1" s="1"/>
  <c r="X128" i="1"/>
  <c r="X130" i="1" s="1"/>
  <c r="AK128" i="1"/>
  <c r="AK130" i="1" s="1"/>
  <c r="AK127" i="1"/>
  <c r="AK129" i="1" s="1"/>
  <c r="AX127" i="1"/>
  <c r="AX129" i="1" s="1"/>
  <c r="AX128" i="1"/>
  <c r="AX130" i="1" s="1"/>
  <c r="BD127" i="1"/>
  <c r="BD129" i="1" s="1"/>
  <c r="BD128" i="1"/>
  <c r="BD130" i="1" s="1"/>
  <c r="AV127" i="1"/>
  <c r="AV129" i="1" s="1"/>
  <c r="AV128" i="1"/>
  <c r="AV130" i="1" s="1"/>
  <c r="L128" i="1"/>
  <c r="L130" i="1" s="1"/>
  <c r="L127" i="1"/>
  <c r="L129" i="1" s="1"/>
  <c r="Y127" i="1"/>
  <c r="Y129" i="1" s="1"/>
  <c r="Y128" i="1"/>
  <c r="Y130" i="1" s="1"/>
  <c r="AE127" i="1"/>
  <c r="AE129" i="1" s="1"/>
  <c r="AE128" i="1"/>
  <c r="AE130" i="1" s="1"/>
  <c r="AL127" i="1"/>
  <c r="AL129" i="1" s="1"/>
  <c r="AL128" i="1"/>
  <c r="AL130" i="1" s="1"/>
  <c r="AR128" i="1"/>
  <c r="AR130" i="1" s="1"/>
  <c r="AR127" i="1"/>
  <c r="AR129" i="1" s="1"/>
  <c r="BE127" i="1"/>
  <c r="BE129" i="1" s="1"/>
  <c r="BE128" i="1"/>
  <c r="BE130" i="1" s="1"/>
  <c r="P127" i="1"/>
  <c r="P129" i="1" s="1"/>
  <c r="P128" i="1"/>
  <c r="P130" i="1" s="1"/>
  <c r="AC128" i="1"/>
  <c r="AC130" i="1" s="1"/>
  <c r="AC127" i="1"/>
  <c r="AC129" i="1" s="1"/>
  <c r="M128" i="1"/>
  <c r="M130" i="1" s="1"/>
  <c r="M127" i="1"/>
  <c r="M129" i="1" s="1"/>
  <c r="S127" i="1"/>
  <c r="S129" i="1" s="1"/>
  <c r="S128" i="1"/>
  <c r="S130" i="1" s="1"/>
  <c r="Z127" i="1"/>
  <c r="Z129" i="1" s="1"/>
  <c r="Z128" i="1"/>
  <c r="Z130" i="1" s="1"/>
  <c r="AF127" i="1"/>
  <c r="AF129" i="1" s="1"/>
  <c r="AF128" i="1"/>
  <c r="AF130" i="1" s="1"/>
  <c r="AS128" i="1"/>
  <c r="AS130" i="1" s="1"/>
  <c r="AS127" i="1"/>
  <c r="AS129" i="1" s="1"/>
  <c r="AY127" i="1"/>
  <c r="AY129" i="1" s="1"/>
  <c r="AY128" i="1"/>
  <c r="AY130" i="1" s="1"/>
  <c r="N127" i="1"/>
  <c r="N129" i="1" s="1"/>
  <c r="N128" i="1"/>
  <c r="N130" i="1" s="1"/>
  <c r="T128" i="1"/>
  <c r="T130" i="1" s="1"/>
  <c r="T127" i="1"/>
  <c r="T129" i="1" s="1"/>
  <c r="AG127" i="1"/>
  <c r="AG129" i="1" s="1"/>
  <c r="AG128" i="1"/>
  <c r="AG130" i="1" s="1"/>
  <c r="AT127" i="1"/>
  <c r="AT129" i="1" s="1"/>
  <c r="AT128" i="1"/>
  <c r="AT130" i="1" s="1"/>
  <c r="H127" i="1"/>
  <c r="H129" i="1" s="1"/>
  <c r="H128" i="1"/>
  <c r="H130" i="1" s="1"/>
  <c r="U128" i="1"/>
  <c r="U130" i="1" s="1"/>
  <c r="U127" i="1"/>
  <c r="U129" i="1" s="1"/>
  <c r="AH127" i="1"/>
  <c r="AH129" i="1" s="1"/>
  <c r="AH128" i="1"/>
  <c r="AH130" i="1" s="1"/>
  <c r="AN127" i="1"/>
  <c r="AN129" i="1" s="1"/>
  <c r="AN128" i="1"/>
  <c r="AN130" i="1" s="1"/>
  <c r="BA128" i="1"/>
  <c r="BA130" i="1" s="1"/>
  <c r="BA127" i="1"/>
  <c r="BA129" i="1" s="1"/>
  <c r="AP127" i="1"/>
  <c r="AP129" i="1" s="1"/>
  <c r="AP128" i="1"/>
  <c r="AP130" i="1" s="1"/>
  <c r="AM127" i="1"/>
  <c r="AM129" i="1" s="1"/>
  <c r="AM128" i="1"/>
  <c r="AM130" i="1" s="1"/>
  <c r="AZ128" i="1"/>
  <c r="AZ130" i="1" s="1"/>
  <c r="AZ127" i="1"/>
  <c r="AZ129" i="1" s="1"/>
  <c r="I127" i="1"/>
  <c r="I129" i="1" s="1"/>
  <c r="I128" i="1"/>
  <c r="I130" i="1" s="1"/>
  <c r="V127" i="1"/>
  <c r="V129" i="1" s="1"/>
  <c r="V128" i="1"/>
  <c r="V130" i="1" s="1"/>
  <c r="AB128" i="1"/>
  <c r="AB130" i="1" s="1"/>
  <c r="AB127" i="1"/>
  <c r="AB129" i="1" s="1"/>
  <c r="AO127" i="1"/>
  <c r="AO129" i="1" s="1"/>
  <c r="AO128" i="1"/>
  <c r="AO130" i="1" s="1"/>
  <c r="BB127" i="1"/>
  <c r="BB129" i="1" s="1"/>
  <c r="BB128" i="1"/>
  <c r="BB130" i="1" s="1"/>
  <c r="L65" i="1"/>
  <c r="L63" i="1"/>
  <c r="L61" i="1"/>
  <c r="L59" i="1"/>
  <c r="L57" i="1"/>
  <c r="L55" i="1"/>
  <c r="L53" i="1"/>
  <c r="L51" i="1"/>
  <c r="L49" i="1"/>
  <c r="L47" i="1"/>
  <c r="L45" i="1"/>
  <c r="L43" i="1"/>
  <c r="L41" i="1"/>
  <c r="L39" i="1"/>
  <c r="L37" i="1"/>
  <c r="L35" i="1"/>
  <c r="L33" i="1"/>
  <c r="L31" i="1"/>
  <c r="L29" i="1"/>
  <c r="L27" i="1"/>
  <c r="L25" i="1"/>
  <c r="L23" i="1"/>
  <c r="L21" i="1"/>
  <c r="L19" i="1"/>
  <c r="L17" i="1"/>
  <c r="L15" i="1"/>
  <c r="L13" i="1"/>
  <c r="L11" i="1"/>
  <c r="L9" i="1"/>
  <c r="L7" i="1"/>
  <c r="L64" i="1"/>
  <c r="L62" i="1"/>
  <c r="L60" i="1"/>
  <c r="L58" i="1"/>
  <c r="L56" i="1"/>
  <c r="L54" i="1"/>
  <c r="L52" i="1"/>
  <c r="L50" i="1"/>
  <c r="L48" i="1"/>
  <c r="L46" i="1"/>
  <c r="L44" i="1"/>
  <c r="L42" i="1"/>
  <c r="L40" i="1"/>
  <c r="L38" i="1"/>
  <c r="L36" i="1"/>
  <c r="L34" i="1"/>
  <c r="L32" i="1"/>
  <c r="L30" i="1"/>
  <c r="L28" i="1"/>
  <c r="L26" i="1"/>
  <c r="L24" i="1"/>
  <c r="L22" i="1"/>
  <c r="L20" i="1"/>
  <c r="L18" i="1"/>
  <c r="L16" i="1"/>
  <c r="L14" i="1"/>
  <c r="L12" i="1"/>
  <c r="L10" i="1"/>
  <c r="L8" i="1"/>
  <c r="P65" i="1"/>
  <c r="P63" i="1"/>
  <c r="P61" i="1"/>
  <c r="P59" i="1"/>
  <c r="P57" i="1"/>
  <c r="P55" i="1"/>
  <c r="P53" i="1"/>
  <c r="P51" i="1"/>
  <c r="P49" i="1"/>
  <c r="P47" i="1"/>
  <c r="P45" i="1"/>
  <c r="P43" i="1"/>
  <c r="P41" i="1"/>
  <c r="P39" i="1"/>
  <c r="P37" i="1"/>
  <c r="P35" i="1"/>
  <c r="P33" i="1"/>
  <c r="P31" i="1"/>
  <c r="P29" i="1"/>
  <c r="P27" i="1"/>
  <c r="P25" i="1"/>
  <c r="P23" i="1"/>
  <c r="P21" i="1"/>
  <c r="P19" i="1"/>
  <c r="P17" i="1"/>
  <c r="P15" i="1"/>
  <c r="P13" i="1"/>
  <c r="P11" i="1"/>
  <c r="P9" i="1"/>
  <c r="P7" i="1"/>
  <c r="P60" i="1"/>
  <c r="P48" i="1"/>
  <c r="P40" i="1"/>
  <c r="P34" i="1"/>
  <c r="P26" i="1"/>
  <c r="P18" i="1"/>
  <c r="P10" i="1"/>
  <c r="P58" i="1"/>
  <c r="P42" i="1"/>
  <c r="P32" i="1"/>
  <c r="P24" i="1"/>
  <c r="P12" i="1"/>
  <c r="P64" i="1"/>
  <c r="P56" i="1"/>
  <c r="P54" i="1"/>
  <c r="P50" i="1"/>
  <c r="P44" i="1"/>
  <c r="P38" i="1"/>
  <c r="P30" i="1"/>
  <c r="P22" i="1"/>
  <c r="P14" i="1"/>
  <c r="P8" i="1"/>
  <c r="P62" i="1"/>
  <c r="P52" i="1"/>
  <c r="P46" i="1"/>
  <c r="P36" i="1"/>
  <c r="P28" i="1"/>
  <c r="P20" i="1"/>
  <c r="P16" i="1"/>
  <c r="D65" i="1"/>
  <c r="D63" i="1"/>
  <c r="D61" i="1"/>
  <c r="D59" i="1"/>
  <c r="D57" i="1"/>
  <c r="D55" i="1"/>
  <c r="D53" i="1"/>
  <c r="D51" i="1"/>
  <c r="D49" i="1"/>
  <c r="D47" i="1"/>
  <c r="D45" i="1"/>
  <c r="D43" i="1"/>
  <c r="D41" i="1"/>
  <c r="D39" i="1"/>
  <c r="D37" i="1"/>
  <c r="D35" i="1"/>
  <c r="D33" i="1"/>
  <c r="D31" i="1"/>
  <c r="D29" i="1"/>
  <c r="D27" i="1"/>
  <c r="D25" i="1"/>
  <c r="D23" i="1"/>
  <c r="D21" i="1"/>
  <c r="D19" i="1"/>
  <c r="D17" i="1"/>
  <c r="D15" i="1"/>
  <c r="D13" i="1"/>
  <c r="D11" i="1"/>
  <c r="D9" i="1"/>
  <c r="D7" i="1"/>
  <c r="D64" i="1"/>
  <c r="D62" i="1"/>
  <c r="D60" i="1"/>
  <c r="D58" i="1"/>
  <c r="D56" i="1"/>
  <c r="D54" i="1"/>
  <c r="D52" i="1"/>
  <c r="D50" i="1"/>
  <c r="D48" i="1"/>
  <c r="D46" i="1"/>
  <c r="D44" i="1"/>
  <c r="D42" i="1"/>
  <c r="D40" i="1"/>
  <c r="D38" i="1"/>
  <c r="D36" i="1"/>
  <c r="D34" i="1"/>
  <c r="D32" i="1"/>
  <c r="D30" i="1"/>
  <c r="D28" i="1"/>
  <c r="D26" i="1"/>
  <c r="D24" i="1"/>
  <c r="D22" i="1"/>
  <c r="D20" i="1"/>
  <c r="D18" i="1"/>
  <c r="D16" i="1"/>
  <c r="D14" i="1"/>
  <c r="D12" i="1"/>
  <c r="D10" i="1"/>
  <c r="D8" i="1"/>
  <c r="H56" i="1"/>
  <c r="H34" i="1"/>
  <c r="H18" i="1"/>
  <c r="H8" i="1"/>
  <c r="H62" i="1"/>
  <c r="H36" i="1"/>
  <c r="H26" i="1"/>
  <c r="H16" i="1"/>
  <c r="H65" i="1"/>
  <c r="H63" i="1"/>
  <c r="H61" i="1"/>
  <c r="H59" i="1"/>
  <c r="H57" i="1"/>
  <c r="H55" i="1"/>
  <c r="H53" i="1"/>
  <c r="H51" i="1"/>
  <c r="H49" i="1"/>
  <c r="H47" i="1"/>
  <c r="H45" i="1"/>
  <c r="H43" i="1"/>
  <c r="H41" i="1"/>
  <c r="H39" i="1"/>
  <c r="H37" i="1"/>
  <c r="H35" i="1"/>
  <c r="H33" i="1"/>
  <c r="H31" i="1"/>
  <c r="H29" i="1"/>
  <c r="H27" i="1"/>
  <c r="H25" i="1"/>
  <c r="H23" i="1"/>
  <c r="H21" i="1"/>
  <c r="H19" i="1"/>
  <c r="H17" i="1"/>
  <c r="H15" i="1"/>
  <c r="H13" i="1"/>
  <c r="H11" i="1"/>
  <c r="H9" i="1"/>
  <c r="H7" i="1"/>
  <c r="H58" i="1"/>
  <c r="H42" i="1"/>
  <c r="H32" i="1"/>
  <c r="H24" i="1"/>
  <c r="H14" i="1"/>
  <c r="H60" i="1"/>
  <c r="H40" i="1"/>
  <c r="H28" i="1"/>
  <c r="H20" i="1"/>
  <c r="H12" i="1"/>
  <c r="H64" i="1"/>
  <c r="H54" i="1"/>
  <c r="H52" i="1"/>
  <c r="H50" i="1"/>
  <c r="H48" i="1"/>
  <c r="H46" i="1"/>
  <c r="H44" i="1"/>
  <c r="H38" i="1"/>
  <c r="H30" i="1"/>
  <c r="H22" i="1"/>
  <c r="H10" i="1"/>
  <c r="E72" i="1" l="1"/>
  <c r="E78" i="1" s="1"/>
  <c r="E71" i="1"/>
  <c r="E77" i="1" s="1"/>
  <c r="G72" i="1"/>
  <c r="G78" i="1" s="1"/>
  <c r="G71" i="1"/>
  <c r="G77" i="1" s="1"/>
  <c r="F72" i="1"/>
  <c r="F78" i="1" s="1"/>
  <c r="F71" i="1"/>
  <c r="F77" i="1" s="1"/>
  <c r="H72" i="1"/>
  <c r="H78" i="1" s="1"/>
  <c r="H71" i="1"/>
  <c r="H7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9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futureMetadata>
  <cellMetadata count="1">
    <bk>
      <rc t="1" v="0"/>
    </bk>
  </cellMetadata>
  <valueMetadata count="29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valueMetadata>
</metadata>
</file>

<file path=xl/sharedStrings.xml><?xml version="1.0" encoding="utf-8"?>
<sst xmlns="http://schemas.openxmlformats.org/spreadsheetml/2006/main" count="267" uniqueCount="121">
  <si>
    <t>Monthly Return</t>
  </si>
  <si>
    <t>MSFT</t>
  </si>
  <si>
    <t>JNJ</t>
  </si>
  <si>
    <t>GLD</t>
  </si>
  <si>
    <t>VEA</t>
  </si>
  <si>
    <t xml:space="preserve">a) </t>
  </si>
  <si>
    <t>Standard Deviation of Monthly Returns</t>
  </si>
  <si>
    <t>Mean/Average Monthly Return</t>
  </si>
  <si>
    <t>b)</t>
  </si>
  <si>
    <t>ANNULIZED</t>
  </si>
  <si>
    <t>Standard Deviation of Annual Returns</t>
  </si>
  <si>
    <t>Monthly *SQRT(12)</t>
  </si>
  <si>
    <t>Mean/Average Annual Return</t>
  </si>
  <si>
    <t>Monthly *12</t>
  </si>
  <si>
    <t xml:space="preserve">c) </t>
  </si>
  <si>
    <t>Just reminding me to only use first 3 years (nothing specifically to do)</t>
  </si>
  <si>
    <t>I double checked, returns go from april 1s 2020 (the first return) up to march 2023</t>
  </si>
  <si>
    <t>Weights Table</t>
  </si>
  <si>
    <t>Weights</t>
  </si>
  <si>
    <t>Monthly Returns for first 36 Months</t>
  </si>
  <si>
    <t xml:space="preserve">Portfolio 1 </t>
  </si>
  <si>
    <t>Portfolio 2</t>
  </si>
  <si>
    <t>Portfolio 3</t>
  </si>
  <si>
    <t>Portfolio 4</t>
  </si>
  <si>
    <t>Portfolio 5</t>
  </si>
  <si>
    <t>Portfolio 6</t>
  </si>
  <si>
    <t>Portfolio 7</t>
  </si>
  <si>
    <t>Portfolio 8</t>
  </si>
  <si>
    <t>Portfolio 9</t>
  </si>
  <si>
    <t>Portfolio 10</t>
  </si>
  <si>
    <t>Portfolio 11</t>
  </si>
  <si>
    <t>Portfolio 12</t>
  </si>
  <si>
    <t>Portfolio 13</t>
  </si>
  <si>
    <t>Portfolio 14</t>
  </si>
  <si>
    <t>Portfolio 15</t>
  </si>
  <si>
    <t>Portfolio 16</t>
  </si>
  <si>
    <t>Portfolio 17</t>
  </si>
  <si>
    <t>Portfolio 18</t>
  </si>
  <si>
    <t>Portfolio 19</t>
  </si>
  <si>
    <t>Portfolio 20</t>
  </si>
  <si>
    <t>Portfolio 21</t>
  </si>
  <si>
    <t>Portfolio 22</t>
  </si>
  <si>
    <t>Portfolio 23</t>
  </si>
  <si>
    <t>Portfolio 24</t>
  </si>
  <si>
    <t>Portfolio 25</t>
  </si>
  <si>
    <t>Portfolio 26</t>
  </si>
  <si>
    <t>Portfolio 27</t>
  </si>
  <si>
    <t>Portfolio 28</t>
  </si>
  <si>
    <t>Portfolio 29</t>
  </si>
  <si>
    <t>Portfolio 30</t>
  </si>
  <si>
    <t>Portfolio 31</t>
  </si>
  <si>
    <t>Portfolio 32</t>
  </si>
  <si>
    <t>Portfolio 33</t>
  </si>
  <si>
    <t>Portfolio 34</t>
  </si>
  <si>
    <t>Portfolio 35</t>
  </si>
  <si>
    <t>Portfolio 36</t>
  </si>
  <si>
    <t>Portfolio 37</t>
  </si>
  <si>
    <t>Portfolio 38</t>
  </si>
  <si>
    <t>Portfolio 39</t>
  </si>
  <si>
    <t>Portfolio 40</t>
  </si>
  <si>
    <t>Portfolio 41</t>
  </si>
  <si>
    <t>Portfolio 42</t>
  </si>
  <si>
    <t>Portfolio 43</t>
  </si>
  <si>
    <t>Portfolio 44</t>
  </si>
  <si>
    <t>Portfolio 45</t>
  </si>
  <si>
    <t>Portfolio 46</t>
  </si>
  <si>
    <t>Portfolio 47</t>
  </si>
  <si>
    <t>Portfolio 48</t>
  </si>
  <si>
    <t>Portfolio 49</t>
  </si>
  <si>
    <t>Portfolio 50</t>
  </si>
  <si>
    <t>Mth Return</t>
  </si>
  <si>
    <t>Mth Risk</t>
  </si>
  <si>
    <t>Annual Return</t>
  </si>
  <si>
    <t>Annual Risk</t>
  </si>
  <si>
    <t>Tangent Portfolio Weights</t>
  </si>
  <si>
    <t>Tangent Portfolio Returns</t>
  </si>
  <si>
    <t>Sharpe Ratio Formula = (RP - Rf) / SigmaP</t>
  </si>
  <si>
    <t>Used Solver</t>
  </si>
  <si>
    <t>Capital Market Line Table</t>
  </si>
  <si>
    <t>Return</t>
  </si>
  <si>
    <t>Risk</t>
  </si>
  <si>
    <r>
      <t>R</t>
    </r>
    <r>
      <rPr>
        <sz val="8"/>
        <color theme="1"/>
        <rFont val="Aptos Narrow"/>
        <family val="2"/>
        <scheme val="minor"/>
      </rPr>
      <t>f</t>
    </r>
  </si>
  <si>
    <t>TP</t>
  </si>
  <si>
    <t>Beta</t>
  </si>
  <si>
    <t>Method</t>
  </si>
  <si>
    <t>Slope of Regression Line</t>
  </si>
  <si>
    <t>Covariance Formula</t>
  </si>
  <si>
    <t>By Covariance:</t>
  </si>
  <si>
    <t>Covariance(MSFT, TP) / Variance(TP)</t>
  </si>
  <si>
    <t>Remember Covariance Formula for Beta is:</t>
  </si>
  <si>
    <t>Variance of TP</t>
  </si>
  <si>
    <t>Risk Free Rate</t>
  </si>
  <si>
    <t>TP Return</t>
  </si>
  <si>
    <t>Now, we need to find the CML Portfolios Matching each security, the formula is: R = Rf + Beta(Rtp - Rf)</t>
  </si>
  <si>
    <t>Equivalent Capital Market Line Portfolio Return</t>
  </si>
  <si>
    <t>Equivalent Capital Market Line Portfolio Risk</t>
  </si>
  <si>
    <t>The risk is just the Beta * TP Risk</t>
  </si>
  <si>
    <t>TP Risk</t>
  </si>
  <si>
    <t>Tangent Portfolio</t>
  </si>
  <si>
    <t>This chart uses perfect hindsight — we computed the tangent portfolio and all betas using the same historical dataset. It shows that the CAPM formula holds well in this idealized setting, where risk and return relationships are measured from the same data.</t>
  </si>
  <si>
    <t>Portion 4</t>
  </si>
  <si>
    <t>Portion 1</t>
  </si>
  <si>
    <t>Portion 2</t>
  </si>
  <si>
    <t>Portion 3</t>
  </si>
  <si>
    <t>Now time to use it to predict the future</t>
  </si>
  <si>
    <t>24 Month Return After First 3 years</t>
  </si>
  <si>
    <t>R = Rf + Beta(Rtp - Rf)</t>
  </si>
  <si>
    <t>Forecasted Portfolio Return</t>
  </si>
  <si>
    <t>The Assumption for this forecast is the betas stay stable through time</t>
  </si>
  <si>
    <t>We do not reoptimize or incorporate any idiosyncratic risk — the idea is that such risks should average out over time.</t>
  </si>
  <si>
    <t>These expected returns are CAPM forecasts based on the assumption that betas remain stable over time.</t>
  </si>
  <si>
    <t>Because we only tested four securities, we cannot draw statistical conclusions, but we illustrate how CAPM may or may not predict future performance.</t>
  </si>
  <si>
    <t>Security</t>
  </si>
  <si>
    <t>Actual Return</t>
  </si>
  <si>
    <t>Forecasted Return</t>
  </si>
  <si>
    <t>Alpha</t>
  </si>
  <si>
    <t>α=Actual Return−Forecasted Return</t>
  </si>
  <si>
    <t>Portion 5</t>
  </si>
  <si>
    <t>Recharting Risk Return for 2023-2025</t>
  </si>
  <si>
    <t>Monthly Returns for last 24 Months</t>
  </si>
  <si>
    <t>CAPM-Based Tangent Portfolio Optimization and Forecasting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</si>
</sst>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3"/>
      <color theme="1"/>
      <name val="Aptos Narrow"/>
      <family val="2"/>
      <scheme val="minor"/>
    </font>
    <font>
      <sz val="8"/>
      <name val="Aptos Narrow"/>
      <family val="2"/>
      <scheme val="minor"/>
    </font>
    <font>
      <sz val="8"/>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5" tint="0.39997558519241921"/>
        <bgColor indexed="64"/>
      </patternFill>
    </fill>
  </fills>
  <borders count="19">
    <border>
      <left/>
      <right/>
      <top/>
      <bottom/>
      <diagonal/>
    </border>
    <border>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0" fontId="3" fillId="0" borderId="0" xfId="0" applyFont="1"/>
    <xf numFmtId="0" fontId="2" fillId="0" borderId="1" xfId="0" applyFont="1" applyBorder="1"/>
    <xf numFmtId="0" fontId="2" fillId="0" borderId="2" xfId="0" applyFont="1" applyBorder="1"/>
    <xf numFmtId="0" fontId="0" fillId="0" borderId="3" xfId="0" applyBorder="1"/>
    <xf numFmtId="0" fontId="0" fillId="0" borderId="4" xfId="0" applyBorder="1"/>
    <xf numFmtId="0" fontId="2" fillId="0" borderId="4" xfId="0" applyFont="1" applyBorder="1"/>
    <xf numFmtId="0" fontId="4" fillId="0" borderId="0" xfId="0" applyFont="1"/>
    <xf numFmtId="0" fontId="2" fillId="0" borderId="0" xfId="0" applyFont="1"/>
    <xf numFmtId="0" fontId="0" fillId="0" borderId="5" xfId="0" applyBorder="1"/>
    <xf numFmtId="0" fontId="0" fillId="0" borderId="4" xfId="0" applyBorder="1" applyAlignment="1">
      <alignment vertical="center" wrapText="1"/>
    </xf>
    <xf numFmtId="0" fontId="0" fillId="2" borderId="4" xfId="0" applyFill="1" applyBorder="1"/>
    <xf numFmtId="0" fontId="0" fillId="0" borderId="6" xfId="0" applyBorder="1"/>
    <xf numFmtId="0" fontId="0" fillId="2" borderId="8" xfId="0" applyFill="1" applyBorder="1"/>
    <xf numFmtId="0" fontId="0" fillId="3" borderId="4" xfId="0" applyFill="1" applyBorder="1"/>
    <xf numFmtId="0" fontId="0" fillId="4" borderId="4" xfId="0" applyFill="1" applyBorder="1"/>
    <xf numFmtId="0" fontId="2" fillId="0" borderId="9" xfId="0" applyFont="1" applyBorder="1" applyAlignment="1">
      <alignment horizontal="center" vertical="center" wrapText="1"/>
    </xf>
    <xf numFmtId="0" fontId="0" fillId="0" borderId="10" xfId="0" applyBorder="1"/>
    <xf numFmtId="0" fontId="0" fillId="0" borderId="7" xfId="0" applyBorder="1"/>
    <xf numFmtId="0" fontId="0" fillId="0" borderId="9" xfId="0" applyBorder="1"/>
    <xf numFmtId="0" fontId="0" fillId="0" borderId="11" xfId="0" applyBorder="1" applyAlignment="1">
      <alignment vertical="center" wrapText="1"/>
    </xf>
    <xf numFmtId="0" fontId="0" fillId="2" borderId="11" xfId="0" applyFill="1" applyBorder="1"/>
    <xf numFmtId="0" fontId="0" fillId="2" borderId="12" xfId="0" applyFill="1" applyBorder="1"/>
    <xf numFmtId="0" fontId="0" fillId="0" borderId="13" xfId="0" applyBorder="1"/>
    <xf numFmtId="0" fontId="0" fillId="0" borderId="11" xfId="0" applyBorder="1"/>
    <xf numFmtId="0" fontId="0" fillId="2" borderId="13" xfId="0" applyFill="1" applyBorder="1"/>
    <xf numFmtId="0" fontId="0" fillId="2" borderId="6" xfId="0" applyFill="1" applyBorder="1"/>
    <xf numFmtId="0" fontId="2" fillId="0" borderId="8" xfId="0" applyFont="1" applyBorder="1" applyAlignment="1">
      <alignment horizontal="center" vertical="center" wrapText="1"/>
    </xf>
    <xf numFmtId="0" fontId="2" fillId="0" borderId="14" xfId="0" applyFont="1" applyBorder="1" applyAlignment="1">
      <alignment horizontal="center" vertical="center" wrapText="1"/>
    </xf>
    <xf numFmtId="0" fontId="0" fillId="0" borderId="12" xfId="0" applyBorder="1" applyAlignment="1">
      <alignment vertical="center" wrapText="1"/>
    </xf>
    <xf numFmtId="0" fontId="0" fillId="0" borderId="8" xfId="0" applyBorder="1"/>
    <xf numFmtId="164" fontId="0" fillId="3" borderId="4" xfId="1" applyNumberFormat="1" applyFont="1" applyFill="1" applyBorder="1"/>
    <xf numFmtId="164" fontId="0" fillId="3" borderId="9" xfId="1" applyNumberFormat="1" applyFont="1" applyFill="1" applyBorder="1"/>
    <xf numFmtId="164" fontId="0" fillId="3" borderId="11" xfId="1" applyNumberFormat="1" applyFont="1" applyFill="1" applyBorder="1"/>
    <xf numFmtId="164" fontId="0" fillId="4" borderId="4" xfId="1" applyNumberFormat="1" applyFont="1" applyFill="1" applyBorder="1"/>
    <xf numFmtId="164" fontId="0" fillId="4" borderId="9" xfId="1" applyNumberFormat="1" applyFont="1" applyFill="1" applyBorder="1"/>
    <xf numFmtId="164" fontId="0" fillId="4" borderId="11" xfId="1" applyNumberFormat="1" applyFont="1" applyFill="1" applyBorder="1"/>
    <xf numFmtId="0" fontId="0" fillId="0" borderId="15" xfId="0" applyBorder="1"/>
    <xf numFmtId="0" fontId="0" fillId="0" borderId="16" xfId="0" applyBorder="1"/>
    <xf numFmtId="9" fontId="0" fillId="0" borderId="4" xfId="1" applyFont="1" applyBorder="1"/>
    <xf numFmtId="164" fontId="0" fillId="0" borderId="4" xfId="0" applyNumberFormat="1" applyBorder="1"/>
    <xf numFmtId="0" fontId="2" fillId="0" borderId="9" xfId="0" applyFont="1" applyBorder="1"/>
    <xf numFmtId="0" fontId="2" fillId="0" borderId="6" xfId="0" applyFont="1" applyBorder="1"/>
    <xf numFmtId="0" fontId="2" fillId="0" borderId="5" xfId="0" applyFont="1" applyBorder="1"/>
    <xf numFmtId="0" fontId="2" fillId="0" borderId="17" xfId="0" applyFont="1" applyBorder="1"/>
    <xf numFmtId="0" fontId="0" fillId="0" borderId="17" xfId="0" applyBorder="1"/>
    <xf numFmtId="0" fontId="0" fillId="3" borderId="4" xfId="1" applyNumberFormat="1" applyFont="1" applyFill="1" applyBorder="1"/>
    <xf numFmtId="0" fontId="0" fillId="4" borderId="4" xfId="1" applyNumberFormat="1" applyFont="1" applyFill="1" applyBorder="1"/>
    <xf numFmtId="0" fontId="0" fillId="0" borderId="18" xfId="0" applyBorder="1"/>
    <xf numFmtId="165" fontId="0" fillId="0" borderId="4" xfId="1" applyNumberFormat="1" applyFont="1" applyBorder="1"/>
    <xf numFmtId="164" fontId="0" fillId="0" borderId="4" xfId="1" applyNumberFormat="1" applyFont="1" applyBorder="1"/>
    <xf numFmtId="10" fontId="0" fillId="0" borderId="4" xfId="1" applyNumberFormat="1" applyFont="1" applyFill="1" applyBorder="1"/>
  </cellXfs>
  <cellStyles count="2">
    <cellStyle name="Normal" xfId="0" builtinId="0"/>
    <cellStyle name="Percent" xfId="1" builtinId="5"/>
  </cellStyles>
  <dxfs count="0"/>
  <tableStyles count="0" defaultTableStyle="TableStyleMedium2" defaultPivotStyle="PivotStyleLight16"/>
  <colors>
    <mruColors>
      <color rgb="FFFC8B24"/>
      <color rgb="FF0B7EFD"/>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Array" Target="richData/rdarray.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06/relationships/rdRichValueTypes" Target="richData/rdRichValueTypes.xml"/><Relationship Id="rId2" Type="http://schemas.openxmlformats.org/officeDocument/2006/relationships/theme" Target="theme/theme1.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SupportingPropertyBag" Target="richData/rdsupportingpropertybag.xml"/><Relationship Id="rId5" Type="http://schemas.openxmlformats.org/officeDocument/2006/relationships/sheetMetadata" Target="metadata.xml"/><Relationship Id="rId15" Type="http://schemas.openxmlformats.org/officeDocument/2006/relationships/customXml" Target="../customXml/item2.xml"/><Relationship Id="rId10" Type="http://schemas.microsoft.com/office/2017/06/relationships/rdSupportingPropertyBagStructure" Target="richData/rdsupportingpropertybagstructure.xml"/><Relationship Id="rId4" Type="http://schemas.openxmlformats.org/officeDocument/2006/relationships/sharedStrings" Target="sharedStrings.xml"/><Relationship Id="rId9" Type="http://schemas.microsoft.com/office/2017/06/relationships/richStyles" Target="richData/rich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Risk vs Return of</a:t>
            </a:r>
            <a:r>
              <a:rPr lang="en-CA" baseline="0"/>
              <a:t> MSFT, JNJ, GLD, VEA and Their Blended Portfolios (2020 - 2023)</a:t>
            </a:r>
            <a:r>
              <a:rPr lang="en-CA"/>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536974034724423E-2"/>
          <c:y val="9.2908842457555776E-2"/>
          <c:w val="0.73970960818700526"/>
          <c:h val="0.79606319433650996"/>
        </c:manualLayout>
      </c:layout>
      <c:scatterChart>
        <c:scatterStyle val="lineMarker"/>
        <c:varyColors val="0"/>
        <c:ser>
          <c:idx val="0"/>
          <c:order val="0"/>
          <c:tx>
            <c:v>Blended Portfolios</c:v>
          </c:tx>
          <c:spPr>
            <a:ln w="25400" cap="rnd">
              <a:noFill/>
              <a:round/>
            </a:ln>
            <a:effectLst/>
          </c:spPr>
          <c:marker>
            <c:symbol val="circle"/>
            <c:size val="5"/>
            <c:spPr>
              <a:solidFill>
                <a:schemeClr val="accent6">
                  <a:lumMod val="60000"/>
                  <a:lumOff val="40000"/>
                </a:schemeClr>
              </a:solidFill>
              <a:ln w="9525">
                <a:solidFill>
                  <a:srgbClr val="00B050"/>
                </a:solidFill>
              </a:ln>
              <a:effectLst/>
            </c:spPr>
          </c:marker>
          <c:xVal>
            <c:numRef>
              <c:f>Calculations!$H$130:$BE$130</c:f>
              <c:numCache>
                <c:formatCode>0.0000000%</c:formatCode>
                <c:ptCount val="50"/>
                <c:pt idx="0">
                  <c:v>0.13988995113155941</c:v>
                </c:pt>
                <c:pt idx="1">
                  <c:v>0.13779139289880254</c:v>
                </c:pt>
                <c:pt idx="2">
                  <c:v>0.13941139761004859</c:v>
                </c:pt>
                <c:pt idx="3">
                  <c:v>0.14908141973935271</c:v>
                </c:pt>
                <c:pt idx="4">
                  <c:v>0.16579906396947144</c:v>
                </c:pt>
                <c:pt idx="5">
                  <c:v>0.17370600252123414</c:v>
                </c:pt>
                <c:pt idx="6">
                  <c:v>0.15518939787841549</c:v>
                </c:pt>
                <c:pt idx="7">
                  <c:v>0.13251087816624915</c:v>
                </c:pt>
                <c:pt idx="8">
                  <c:v>0.15348484466089668</c:v>
                </c:pt>
                <c:pt idx="9">
                  <c:v>0.13299894416201724</c:v>
                </c:pt>
                <c:pt idx="10">
                  <c:v>0.164253016769355</c:v>
                </c:pt>
                <c:pt idx="11">
                  <c:v>0.20509115708313974</c:v>
                </c:pt>
                <c:pt idx="12">
                  <c:v>0.13881192267723913</c:v>
                </c:pt>
                <c:pt idx="13">
                  <c:v>0.18057325783505571</c:v>
                </c:pt>
                <c:pt idx="14">
                  <c:v>0.15173610382054867</c:v>
                </c:pt>
                <c:pt idx="15">
                  <c:v>0.14058990650814923</c:v>
                </c:pt>
                <c:pt idx="16">
                  <c:v>0.13551940168015822</c:v>
                </c:pt>
                <c:pt idx="17">
                  <c:v>0.13760050610394972</c:v>
                </c:pt>
                <c:pt idx="18">
                  <c:v>0.17113529636816788</c:v>
                </c:pt>
                <c:pt idx="19">
                  <c:v>0.18679390862197201</c:v>
                </c:pt>
                <c:pt idx="20">
                  <c:v>0.17374837985317562</c:v>
                </c:pt>
                <c:pt idx="21">
                  <c:v>0.14394891184220338</c:v>
                </c:pt>
                <c:pt idx="22">
                  <c:v>0.20647210357394427</c:v>
                </c:pt>
                <c:pt idx="23">
                  <c:v>0.15742657570771224</c:v>
                </c:pt>
                <c:pt idx="24">
                  <c:v>0.14523113315920375</c:v>
                </c:pt>
                <c:pt idx="25">
                  <c:v>0.17952907861808459</c:v>
                </c:pt>
                <c:pt idx="26">
                  <c:v>0.16655309157703815</c:v>
                </c:pt>
                <c:pt idx="27">
                  <c:v>0.19057918511902461</c:v>
                </c:pt>
                <c:pt idx="28">
                  <c:v>0.13312046924034238</c:v>
                </c:pt>
                <c:pt idx="29">
                  <c:v>0.16450126841383567</c:v>
                </c:pt>
                <c:pt idx="30">
                  <c:v>0.19324508318888642</c:v>
                </c:pt>
                <c:pt idx="31">
                  <c:v>0.15017162832655981</c:v>
                </c:pt>
                <c:pt idx="32">
                  <c:v>0.160758294230473</c:v>
                </c:pt>
                <c:pt idx="33">
                  <c:v>0.17437955515319162</c:v>
                </c:pt>
                <c:pt idx="34">
                  <c:v>0.13665849466499377</c:v>
                </c:pt>
                <c:pt idx="35">
                  <c:v>0.15745197204649009</c:v>
                </c:pt>
                <c:pt idx="36">
                  <c:v>0.14482145242018532</c:v>
                </c:pt>
                <c:pt idx="37">
                  <c:v>0.18214249792952195</c:v>
                </c:pt>
                <c:pt idx="38">
                  <c:v>0.14922138234452692</c:v>
                </c:pt>
                <c:pt idx="39">
                  <c:v>0.15036266677817434</c:v>
                </c:pt>
                <c:pt idx="40">
                  <c:v>0.1548826677483616</c:v>
                </c:pt>
                <c:pt idx="41">
                  <c:v>0.14778964466238068</c:v>
                </c:pt>
                <c:pt idx="42">
                  <c:v>0.17977426546648675</c:v>
                </c:pt>
                <c:pt idx="43">
                  <c:v>0.15191660752512379</c:v>
                </c:pt>
                <c:pt idx="44">
                  <c:v>0.1691587490271558</c:v>
                </c:pt>
                <c:pt idx="45">
                  <c:v>0.1852613877552835</c:v>
                </c:pt>
                <c:pt idx="46">
                  <c:v>0.13496396927560439</c:v>
                </c:pt>
                <c:pt idx="47">
                  <c:v>0.1941534807069358</c:v>
                </c:pt>
                <c:pt idx="48">
                  <c:v>0.1409842584111014</c:v>
                </c:pt>
                <c:pt idx="49">
                  <c:v>0.15910324350529825</c:v>
                </c:pt>
              </c:numCache>
            </c:numRef>
          </c:xVal>
          <c:yVal>
            <c:numRef>
              <c:f>Calculations!$H$129:$BE$129</c:f>
              <c:numCache>
                <c:formatCode>0.0000000%</c:formatCode>
                <c:ptCount val="50"/>
                <c:pt idx="0">
                  <c:v>0.16385352717379717</c:v>
                </c:pt>
                <c:pt idx="1">
                  <c:v>0.14411843033868499</c:v>
                </c:pt>
                <c:pt idx="2">
                  <c:v>0.11154252343454016</c:v>
                </c:pt>
                <c:pt idx="3">
                  <c:v>0.1751449251405488</c:v>
                </c:pt>
                <c:pt idx="4">
                  <c:v>0.18439101736863817</c:v>
                </c:pt>
                <c:pt idx="5">
                  <c:v>0.21355198381930712</c:v>
                </c:pt>
                <c:pt idx="6">
                  <c:v>0.18415259052781877</c:v>
                </c:pt>
                <c:pt idx="7">
                  <c:v>0.11513768657314688</c:v>
                </c:pt>
                <c:pt idx="8">
                  <c:v>0.1567506267746194</c:v>
                </c:pt>
                <c:pt idx="9">
                  <c:v>0.12058673706079256</c:v>
                </c:pt>
                <c:pt idx="10">
                  <c:v>0.19909795716788742</c:v>
                </c:pt>
                <c:pt idx="11">
                  <c:v>0.22065251331137953</c:v>
                </c:pt>
                <c:pt idx="12">
                  <c:v>0.14307507491351926</c:v>
                </c:pt>
                <c:pt idx="13">
                  <c:v>0.17399806698187625</c:v>
                </c:pt>
                <c:pt idx="14">
                  <c:v>0.17494349885254928</c:v>
                </c:pt>
                <c:pt idx="15">
                  <c:v>0.11940141764138323</c:v>
                </c:pt>
                <c:pt idx="16">
                  <c:v>0.11823752732797002</c:v>
                </c:pt>
                <c:pt idx="17">
                  <c:v>0.11922930202811385</c:v>
                </c:pt>
                <c:pt idx="18">
                  <c:v>0.19882120880463006</c:v>
                </c:pt>
                <c:pt idx="19">
                  <c:v>0.21813792015259431</c:v>
                </c:pt>
                <c:pt idx="20">
                  <c:v>0.18794994817135099</c:v>
                </c:pt>
                <c:pt idx="21">
                  <c:v>0.15900512904132189</c:v>
                </c:pt>
                <c:pt idx="22">
                  <c:v>0.23493403789274322</c:v>
                </c:pt>
                <c:pt idx="23">
                  <c:v>0.19551457626519442</c:v>
                </c:pt>
                <c:pt idx="24">
                  <c:v>0.14945637992140823</c:v>
                </c:pt>
                <c:pt idx="25">
                  <c:v>0.21309540187264456</c:v>
                </c:pt>
                <c:pt idx="26">
                  <c:v>0.16769694879953762</c:v>
                </c:pt>
                <c:pt idx="27">
                  <c:v>0.20309392424450123</c:v>
                </c:pt>
                <c:pt idx="28">
                  <c:v>0.13917266317141117</c:v>
                </c:pt>
                <c:pt idx="29">
                  <c:v>0.18976596530407575</c:v>
                </c:pt>
                <c:pt idx="30">
                  <c:v>0.19509726273648037</c:v>
                </c:pt>
                <c:pt idx="31">
                  <c:v>0.17517532643869754</c:v>
                </c:pt>
                <c:pt idx="32">
                  <c:v>0.18235852655556797</c:v>
                </c:pt>
                <c:pt idx="33">
                  <c:v>0.19180943819228147</c:v>
                </c:pt>
                <c:pt idx="34">
                  <c:v>0.11797022008104498</c:v>
                </c:pt>
                <c:pt idx="35">
                  <c:v>0.1904533011985472</c:v>
                </c:pt>
                <c:pt idx="36">
                  <c:v>0.12518120109341913</c:v>
                </c:pt>
                <c:pt idx="37">
                  <c:v>0.22884880570841673</c:v>
                </c:pt>
                <c:pt idx="38">
                  <c:v>0.15442914068154404</c:v>
                </c:pt>
                <c:pt idx="39">
                  <c:v>0.15513805814386483</c:v>
                </c:pt>
                <c:pt idx="40">
                  <c:v>0.17623808614328218</c:v>
                </c:pt>
                <c:pt idx="41">
                  <c:v>8.6677209239171354E-2</c:v>
                </c:pt>
                <c:pt idx="42">
                  <c:v>0.18021426167239263</c:v>
                </c:pt>
                <c:pt idx="43">
                  <c:v>0.15076082659340556</c:v>
                </c:pt>
                <c:pt idx="44">
                  <c:v>0.20190570665005547</c:v>
                </c:pt>
                <c:pt idx="45">
                  <c:v>0.21824985173310685</c:v>
                </c:pt>
                <c:pt idx="46">
                  <c:v>9.4943031118087523E-2</c:v>
                </c:pt>
                <c:pt idx="47">
                  <c:v>0.22027383049458177</c:v>
                </c:pt>
                <c:pt idx="48">
                  <c:v>0.12519788652403846</c:v>
                </c:pt>
                <c:pt idx="49">
                  <c:v>0.17924041983981465</c:v>
                </c:pt>
              </c:numCache>
            </c:numRef>
          </c:yVal>
          <c:smooth val="0"/>
          <c:extLst>
            <c:ext xmlns:c16="http://schemas.microsoft.com/office/drawing/2014/chart" uri="{C3380CC4-5D6E-409C-BE32-E72D297353CC}">
              <c16:uniqueId val="{00000002-76F8-4191-985F-F7870E40F5D3}"/>
            </c:ext>
          </c:extLst>
        </c:ser>
        <c:ser>
          <c:idx val="1"/>
          <c:order val="1"/>
          <c:tx>
            <c:v>Securities</c:v>
          </c:tx>
          <c:spPr>
            <a:ln w="25400" cap="rnd">
              <a:noFill/>
              <a:round/>
            </a:ln>
            <a:effectLst/>
          </c:spPr>
          <c:marker>
            <c:symbol val="square"/>
            <c:size val="6"/>
            <c:spPr>
              <a:solidFill>
                <a:srgbClr val="FF7C80"/>
              </a:solidFill>
              <a:ln w="12700">
                <a:solidFill>
                  <a:srgbClr val="C00000"/>
                </a:solidFill>
                <a:round/>
              </a:ln>
              <a:effectLst/>
            </c:spPr>
          </c:marker>
          <c:dLbls>
            <c:dLbl>
              <c:idx val="0"/>
              <c:tx>
                <c:rich>
                  <a:bodyPr/>
                  <a:lstStyle/>
                  <a:p>
                    <a:fld id="{88644AE2-8C99-41D1-8F6D-B5916A762853}"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{88644AE2-8C99-41D1-8F6D-B5916A762853}</c15:txfldGUID>
                      <c15:f>Calculations!$D$90</c15:f>
                      <c15:dlblFieldTableCache>
                        <c:ptCount val="1"/>
                        <c:pt idx="0">
                          <c:v>MSFT</c:v>
                        </c:pt>
                      </c15:dlblFieldTableCache>
                    </c15:dlblFTEntry>
                  </c15:dlblFieldTable>
                  <c15:showDataLabelsRange val="0"/>
                </c:ext>
                <c:ext xmlns:c16="http://schemas.microsoft.com/office/drawing/2014/chart" uri="{C3380CC4-5D6E-409C-BE32-E72D297353CC}">
                  <c16:uniqueId val="{00000001-60BC-4EC2-B18D-B23C524E4B37}"/>
                </c:ext>
              </c:extLst>
            </c:dLbl>
            <c:dLbl>
              <c:idx val="1"/>
              <c:tx>
                <c:rich>
                  <a:bodyPr/>
                  <a:lstStyle/>
                  <a:p>
                    <a:fld id="{C3585FB9-62AD-449B-91DA-FB55FFB67EC0}"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{C3585FB9-62AD-449B-91DA-FB55FFB67EC0}</c15:txfldGUID>
                      <c15:f>Calculations!$E$90</c15:f>
                      <c15:dlblFieldTableCache>
                        <c:ptCount val="1"/>
                        <c:pt idx="0">
                          <c:v>JNJ</c:v>
                        </c:pt>
                      </c15:dlblFieldTableCache>
                    </c15:dlblFTEntry>
                  </c15:dlblFieldTable>
                  <c15:showDataLabelsRange val="0"/>
                </c:ext>
                <c:ext xmlns:c16="http://schemas.microsoft.com/office/drawing/2014/chart" uri="{C3380CC4-5D6E-409C-BE32-E72D297353CC}">
                  <c16:uniqueId val="{00000003-60BC-4EC2-B18D-B23C524E4B37}"/>
                </c:ext>
              </c:extLst>
            </c:dLbl>
            <c:dLbl>
              <c:idx val="2"/>
              <c:tx>
                <c:rich>
                  <a:bodyPr/>
                  <a:lstStyle/>
                  <a:p>
                    <a:fld id="{5B672221-DB71-42CB-8B4E-A2A8F0BB2311}"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{5B672221-DB71-42CB-8B4E-A2A8F0BB2311}</c15:txfldGUID>
                      <c15:f>Calculations!$F$90</c15:f>
                      <c15:dlblFieldTableCache>
                        <c:ptCount val="1"/>
                        <c:pt idx="0">
                          <c:v>GLD</c:v>
                        </c:pt>
                      </c15:dlblFieldTableCache>
                    </c15:dlblFTEntry>
                  </c15:dlblFieldTable>
                  <c15:showDataLabelsRange val="0"/>
                </c:ext>
                <c:ext xmlns:c16="http://schemas.microsoft.com/office/drawing/2014/chart" uri="{C3380CC4-5D6E-409C-BE32-E72D297353CC}">
                  <c16:uniqueId val="{00000002-60BC-4EC2-B18D-B23C524E4B37}"/>
                </c:ext>
              </c:extLst>
            </c:dLbl>
            <c:dLbl>
              <c:idx val="3"/>
              <c:tx>
                <c:rich>
                  <a:bodyPr/>
                  <a:lstStyle/>
                  <a:p>
                    <a:fld id="{DEE92CB6-E274-45B8-B5D0-EE6B6BDAA9CD}"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{DEE92CB6-E274-45B8-B5D0-EE6B6BDAA9CD}</c15:txfldGUID>
                      <c15:f>Calculations!$G$90</c15:f>
                      <c15:dlblFieldTableCache>
                        <c:ptCount val="1"/>
                        <c:pt idx="0">
                          <c:v>VEA</c:v>
                        </c:pt>
                      </c15:dlblFieldTableCache>
                    </c15:dlblFTEntry>
                  </c15:dlblFieldTable>
                  <c15:showDataLabelsRange val="0"/>
                </c:ext>
                <c:ext xmlns:c16="http://schemas.microsoft.com/office/drawing/2014/chart" uri="{C3380CC4-5D6E-409C-BE32-E72D297353CC}">
                  <c16:uniqueId val="{00000000-60BC-4EC2-B18D-B23C524E4B3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Calculations!$D$130:$G$130</c:f>
              <c:numCache>
                <c:formatCode>0.0000000%</c:formatCode>
                <c:ptCount val="4"/>
                <c:pt idx="0">
                  <c:v>0.24893987968399214</c:v>
                </c:pt>
                <c:pt idx="1">
                  <c:v>0.18274406022511422</c:v>
                </c:pt>
                <c:pt idx="2">
                  <c:v>0.16116013573881702</c:v>
                </c:pt>
                <c:pt idx="3">
                  <c:v>0.30489612527867116</c:v>
                </c:pt>
              </c:numCache>
            </c:numRef>
          </c:xVal>
          <c:yVal>
            <c:numRef>
              <c:f>Calculations!$D$129:$G$129</c:f>
              <c:numCache>
                <c:formatCode>0.0000000%</c:formatCode>
                <c:ptCount val="4"/>
                <c:pt idx="0">
                  <c:v>0.23216673980849706</c:v>
                </c:pt>
                <c:pt idx="1">
                  <c:v>7.1851093118770359E-2</c:v>
                </c:pt>
                <c:pt idx="2">
                  <c:v>8.3668827668403889E-2</c:v>
                </c:pt>
                <c:pt idx="3">
                  <c:v>0.26772744809951732</c:v>
                </c:pt>
              </c:numCache>
            </c:numRef>
          </c:yVal>
          <c:smooth val="0"/>
          <c:extLst>
            <c:ext xmlns:c16="http://schemas.microsoft.com/office/drawing/2014/chart" uri="{C3380CC4-5D6E-409C-BE32-E72D297353CC}">
              <c16:uniqueId val="{00000003-76F8-4191-985F-F7870E40F5D3}"/>
            </c:ext>
          </c:extLst>
        </c:ser>
        <c:dLbls>
          <c:showLegendKey val="0"/>
          <c:showVal val="0"/>
          <c:showCatName val="0"/>
          <c:showSerName val="0"/>
          <c:showPercent val="0"/>
          <c:showBubbleSize val="0"/>
        </c:dLbls>
        <c:axId val="2067701456"/>
        <c:axId val="2067713456"/>
      </c:scatterChart>
      <c:valAx>
        <c:axId val="2067701456"/>
        <c:scaling>
          <c:orientation val="minMax"/>
          <c:max val="0.32000000000000006"/>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Risk (%)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13456"/>
        <c:crosses val="autoZero"/>
        <c:crossBetween val="midCat"/>
      </c:valAx>
      <c:valAx>
        <c:axId val="206771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01456"/>
        <c:crosses val="autoZero"/>
        <c:crossBetween val="midCat"/>
      </c:valAx>
      <c:spPr>
        <a:noFill/>
        <a:ln>
          <a:noFill/>
        </a:ln>
        <a:effectLst/>
      </c:spPr>
    </c:plotArea>
    <c:legend>
      <c:legendPos val="r"/>
      <c:layout>
        <c:manualLayout>
          <c:xMode val="edge"/>
          <c:yMode val="edge"/>
          <c:x val="0.82412217346802608"/>
          <c:y val="0.3806792495702126"/>
          <c:w val="0.13667489526833193"/>
          <c:h val="0.18730448517420689"/>
        </c:manualLayout>
      </c:layout>
      <c:overlay val="0"/>
      <c:spPr>
        <a:noFill/>
        <a:ln cap="rnd">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350"/>
              <a:t>Risk vs Return of</a:t>
            </a:r>
            <a:r>
              <a:rPr lang="en-CA" sz="1350" baseline="0"/>
              <a:t> MSFT, JNJ, GLD, VEA, the Tangent Portfolio and the CML (2020 - 2023)</a:t>
            </a:r>
            <a:endParaRPr lang="en-CA" sz="1350"/>
          </a:p>
        </c:rich>
      </c:tx>
      <c:layout>
        <c:manualLayout>
          <c:xMode val="edge"/>
          <c:yMode val="edge"/>
          <c:x val="8.5367256331807417E-2"/>
          <c:y val="1.10894967825314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7.3537012893412593E-2"/>
          <c:y val="8.7813003100978601E-2"/>
          <c:w val="0.7278101118884156"/>
          <c:h val="0.80115907660882268"/>
        </c:manualLayout>
      </c:layout>
      <c:scatterChart>
        <c:scatterStyle val="lineMarker"/>
        <c:varyColors val="0"/>
        <c:ser>
          <c:idx val="0"/>
          <c:order val="0"/>
          <c:tx>
            <c:v>Blended Portfolios</c:v>
          </c:tx>
          <c:spPr>
            <a:ln w="25400" cap="rnd">
              <a:noFill/>
              <a:round/>
            </a:ln>
            <a:effectLst/>
          </c:spPr>
          <c:marker>
            <c:symbol val="circle"/>
            <c:size val="5"/>
            <c:spPr>
              <a:solidFill>
                <a:schemeClr val="accent6">
                  <a:lumMod val="60000"/>
                  <a:lumOff val="40000"/>
                </a:schemeClr>
              </a:solidFill>
              <a:ln w="9525">
                <a:solidFill>
                  <a:srgbClr val="00B050"/>
                </a:solidFill>
              </a:ln>
              <a:effectLst/>
            </c:spPr>
          </c:marker>
          <c:xVal>
            <c:numRef>
              <c:f>Calculations!$H$130:$BE$130</c:f>
              <c:numCache>
                <c:formatCode>0.0000000%</c:formatCode>
                <c:ptCount val="50"/>
                <c:pt idx="0">
                  <c:v>0.13988995113155941</c:v>
                </c:pt>
                <c:pt idx="1">
                  <c:v>0.13779139289880254</c:v>
                </c:pt>
                <c:pt idx="2">
                  <c:v>0.13941139761004859</c:v>
                </c:pt>
                <c:pt idx="3">
                  <c:v>0.14908141973935271</c:v>
                </c:pt>
                <c:pt idx="4">
                  <c:v>0.16579906396947144</c:v>
                </c:pt>
                <c:pt idx="5">
                  <c:v>0.17370600252123414</c:v>
                </c:pt>
                <c:pt idx="6">
                  <c:v>0.15518939787841549</c:v>
                </c:pt>
                <c:pt idx="7">
                  <c:v>0.13251087816624915</c:v>
                </c:pt>
                <c:pt idx="8">
                  <c:v>0.15348484466089668</c:v>
                </c:pt>
                <c:pt idx="9">
                  <c:v>0.13299894416201724</c:v>
                </c:pt>
                <c:pt idx="10">
                  <c:v>0.164253016769355</c:v>
                </c:pt>
                <c:pt idx="11">
                  <c:v>0.20509115708313974</c:v>
                </c:pt>
                <c:pt idx="12">
                  <c:v>0.13881192267723913</c:v>
                </c:pt>
                <c:pt idx="13">
                  <c:v>0.18057325783505571</c:v>
                </c:pt>
                <c:pt idx="14">
                  <c:v>0.15173610382054867</c:v>
                </c:pt>
                <c:pt idx="15">
                  <c:v>0.14058990650814923</c:v>
                </c:pt>
                <c:pt idx="16">
                  <c:v>0.13551940168015822</c:v>
                </c:pt>
                <c:pt idx="17">
                  <c:v>0.13760050610394972</c:v>
                </c:pt>
                <c:pt idx="18">
                  <c:v>0.17113529636816788</c:v>
                </c:pt>
                <c:pt idx="19">
                  <c:v>0.18679390862197201</c:v>
                </c:pt>
                <c:pt idx="20">
                  <c:v>0.17374837985317562</c:v>
                </c:pt>
                <c:pt idx="21">
                  <c:v>0.14394891184220338</c:v>
                </c:pt>
                <c:pt idx="22">
                  <c:v>0.20647210357394427</c:v>
                </c:pt>
                <c:pt idx="23">
                  <c:v>0.15742657570771224</c:v>
                </c:pt>
                <c:pt idx="24">
                  <c:v>0.14523113315920375</c:v>
                </c:pt>
                <c:pt idx="25">
                  <c:v>0.17952907861808459</c:v>
                </c:pt>
                <c:pt idx="26">
                  <c:v>0.16655309157703815</c:v>
                </c:pt>
                <c:pt idx="27">
                  <c:v>0.19057918511902461</c:v>
                </c:pt>
                <c:pt idx="28">
                  <c:v>0.13312046924034238</c:v>
                </c:pt>
                <c:pt idx="29">
                  <c:v>0.16450126841383567</c:v>
                </c:pt>
                <c:pt idx="30">
                  <c:v>0.19324508318888642</c:v>
                </c:pt>
                <c:pt idx="31">
                  <c:v>0.15017162832655981</c:v>
                </c:pt>
                <c:pt idx="32">
                  <c:v>0.160758294230473</c:v>
                </c:pt>
                <c:pt idx="33">
                  <c:v>0.17437955515319162</c:v>
                </c:pt>
                <c:pt idx="34">
                  <c:v>0.13665849466499377</c:v>
                </c:pt>
                <c:pt idx="35">
                  <c:v>0.15745197204649009</c:v>
                </c:pt>
                <c:pt idx="36">
                  <c:v>0.14482145242018532</c:v>
                </c:pt>
                <c:pt idx="37">
                  <c:v>0.18214249792952195</c:v>
                </c:pt>
                <c:pt idx="38">
                  <c:v>0.14922138234452692</c:v>
                </c:pt>
                <c:pt idx="39">
                  <c:v>0.15036266677817434</c:v>
                </c:pt>
                <c:pt idx="40">
                  <c:v>0.1548826677483616</c:v>
                </c:pt>
                <c:pt idx="41">
                  <c:v>0.14778964466238068</c:v>
                </c:pt>
                <c:pt idx="42">
                  <c:v>0.17977426546648675</c:v>
                </c:pt>
                <c:pt idx="43">
                  <c:v>0.15191660752512379</c:v>
                </c:pt>
                <c:pt idx="44">
                  <c:v>0.1691587490271558</c:v>
                </c:pt>
                <c:pt idx="45">
                  <c:v>0.1852613877552835</c:v>
                </c:pt>
                <c:pt idx="46">
                  <c:v>0.13496396927560439</c:v>
                </c:pt>
                <c:pt idx="47">
                  <c:v>0.1941534807069358</c:v>
                </c:pt>
                <c:pt idx="48">
                  <c:v>0.1409842584111014</c:v>
                </c:pt>
                <c:pt idx="49">
                  <c:v>0.15910324350529825</c:v>
                </c:pt>
              </c:numCache>
            </c:numRef>
          </c:xVal>
          <c:yVal>
            <c:numRef>
              <c:f>Calculations!$H$129:$BE$129</c:f>
              <c:numCache>
                <c:formatCode>0.0000000%</c:formatCode>
                <c:ptCount val="50"/>
                <c:pt idx="0">
                  <c:v>0.16385352717379717</c:v>
                </c:pt>
                <c:pt idx="1">
                  <c:v>0.14411843033868499</c:v>
                </c:pt>
                <c:pt idx="2">
                  <c:v>0.11154252343454016</c:v>
                </c:pt>
                <c:pt idx="3">
                  <c:v>0.1751449251405488</c:v>
                </c:pt>
                <c:pt idx="4">
                  <c:v>0.18439101736863817</c:v>
                </c:pt>
                <c:pt idx="5">
                  <c:v>0.21355198381930712</c:v>
                </c:pt>
                <c:pt idx="6">
                  <c:v>0.18415259052781877</c:v>
                </c:pt>
                <c:pt idx="7">
                  <c:v>0.11513768657314688</c:v>
                </c:pt>
                <c:pt idx="8">
                  <c:v>0.1567506267746194</c:v>
                </c:pt>
                <c:pt idx="9">
                  <c:v>0.12058673706079256</c:v>
                </c:pt>
                <c:pt idx="10">
                  <c:v>0.19909795716788742</c:v>
                </c:pt>
                <c:pt idx="11">
                  <c:v>0.22065251331137953</c:v>
                </c:pt>
                <c:pt idx="12">
                  <c:v>0.14307507491351926</c:v>
                </c:pt>
                <c:pt idx="13">
                  <c:v>0.17399806698187625</c:v>
                </c:pt>
                <c:pt idx="14">
                  <c:v>0.17494349885254928</c:v>
                </c:pt>
                <c:pt idx="15">
                  <c:v>0.11940141764138323</c:v>
                </c:pt>
                <c:pt idx="16">
                  <c:v>0.11823752732797002</c:v>
                </c:pt>
                <c:pt idx="17">
                  <c:v>0.11922930202811385</c:v>
                </c:pt>
                <c:pt idx="18">
                  <c:v>0.19882120880463006</c:v>
                </c:pt>
                <c:pt idx="19">
                  <c:v>0.21813792015259431</c:v>
                </c:pt>
                <c:pt idx="20">
                  <c:v>0.18794994817135099</c:v>
                </c:pt>
                <c:pt idx="21">
                  <c:v>0.15900512904132189</c:v>
                </c:pt>
                <c:pt idx="22">
                  <c:v>0.23493403789274322</c:v>
                </c:pt>
                <c:pt idx="23">
                  <c:v>0.19551457626519442</c:v>
                </c:pt>
                <c:pt idx="24">
                  <c:v>0.14945637992140823</c:v>
                </c:pt>
                <c:pt idx="25">
                  <c:v>0.21309540187264456</c:v>
                </c:pt>
                <c:pt idx="26">
                  <c:v>0.16769694879953762</c:v>
                </c:pt>
                <c:pt idx="27">
                  <c:v>0.20309392424450123</c:v>
                </c:pt>
                <c:pt idx="28">
                  <c:v>0.13917266317141117</c:v>
                </c:pt>
                <c:pt idx="29">
                  <c:v>0.18976596530407575</c:v>
                </c:pt>
                <c:pt idx="30">
                  <c:v>0.19509726273648037</c:v>
                </c:pt>
                <c:pt idx="31">
                  <c:v>0.17517532643869754</c:v>
                </c:pt>
                <c:pt idx="32">
                  <c:v>0.18235852655556797</c:v>
                </c:pt>
                <c:pt idx="33">
                  <c:v>0.19180943819228147</c:v>
                </c:pt>
                <c:pt idx="34">
                  <c:v>0.11797022008104498</c:v>
                </c:pt>
                <c:pt idx="35">
                  <c:v>0.1904533011985472</c:v>
                </c:pt>
                <c:pt idx="36">
                  <c:v>0.12518120109341913</c:v>
                </c:pt>
                <c:pt idx="37">
                  <c:v>0.22884880570841673</c:v>
                </c:pt>
                <c:pt idx="38">
                  <c:v>0.15442914068154404</c:v>
                </c:pt>
                <c:pt idx="39">
                  <c:v>0.15513805814386483</c:v>
                </c:pt>
                <c:pt idx="40">
                  <c:v>0.17623808614328218</c:v>
                </c:pt>
                <c:pt idx="41">
                  <c:v>8.6677209239171354E-2</c:v>
                </c:pt>
                <c:pt idx="42">
                  <c:v>0.18021426167239263</c:v>
                </c:pt>
                <c:pt idx="43">
                  <c:v>0.15076082659340556</c:v>
                </c:pt>
                <c:pt idx="44">
                  <c:v>0.20190570665005547</c:v>
                </c:pt>
                <c:pt idx="45">
                  <c:v>0.21824985173310685</c:v>
                </c:pt>
                <c:pt idx="46">
                  <c:v>9.4943031118087523E-2</c:v>
                </c:pt>
                <c:pt idx="47">
                  <c:v>0.22027383049458177</c:v>
                </c:pt>
                <c:pt idx="48">
                  <c:v>0.12519788652403846</c:v>
                </c:pt>
                <c:pt idx="49">
                  <c:v>0.17924041983981465</c:v>
                </c:pt>
              </c:numCache>
            </c:numRef>
          </c:yVal>
          <c:smooth val="0"/>
          <c:extLst>
            <c:ext xmlns:c16="http://schemas.microsoft.com/office/drawing/2014/chart" uri="{C3380CC4-5D6E-409C-BE32-E72D297353CC}">
              <c16:uniqueId val="{00000000-2D4D-4514-A5B1-3391D9C782B3}"/>
            </c:ext>
          </c:extLst>
        </c:ser>
        <c:ser>
          <c:idx val="1"/>
          <c:order val="1"/>
          <c:tx>
            <c:v>Securities</c:v>
          </c:tx>
          <c:spPr>
            <a:ln w="25400" cap="rnd">
              <a:noFill/>
              <a:round/>
            </a:ln>
            <a:effectLst/>
          </c:spPr>
          <c:marker>
            <c:symbol val="square"/>
            <c:size val="6"/>
            <c:spPr>
              <a:solidFill>
                <a:srgbClr val="FF7C80"/>
              </a:solidFill>
              <a:ln w="12700">
                <a:solidFill>
                  <a:srgbClr val="C00000"/>
                </a:solidFill>
                <a:round/>
              </a:ln>
              <a:effectLst/>
            </c:spPr>
          </c:marker>
          <c:dLbls>
            <c:dLbl>
              <c:idx val="0"/>
              <c:tx>
                <c:rich>
                  <a:bodyPr/>
                  <a:lstStyle/>
                  <a:p>
                    <a:fld id="{88644AE2-8C99-41D1-8F6D-B5916A762853}"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{88644AE2-8C99-41D1-8F6D-B5916A762853}</c15:txfldGUID>
                      <c15:f>Calculations!$D$90</c15:f>
                      <c15:dlblFieldTableCache>
                        <c:ptCount val="1"/>
                        <c:pt idx="0">
                          <c:v>MSFT</c:v>
                        </c:pt>
                      </c15:dlblFieldTableCache>
                    </c15:dlblFTEntry>
                  </c15:dlblFieldTable>
                  <c15:showDataLabelsRange val="0"/>
                </c:ext>
                <c:ext xmlns:c16="http://schemas.microsoft.com/office/drawing/2014/chart" uri="{C3380CC4-5D6E-409C-BE32-E72D297353CC}">
                  <c16:uniqueId val="{00000001-2D4D-4514-A5B1-3391D9C782B3}"/>
                </c:ext>
              </c:extLst>
            </c:dLbl>
            <c:dLbl>
              <c:idx val="1"/>
              <c:tx>
                <c:rich>
                  <a:bodyPr/>
                  <a:lstStyle/>
                  <a:p>
                    <a:fld id="{C3585FB9-62AD-449B-91DA-FB55FFB67EC0}"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{C3585FB9-62AD-449B-91DA-FB55FFB67EC0}</c15:txfldGUID>
                      <c15:f>Calculations!$E$90</c15:f>
                      <c15:dlblFieldTableCache>
                        <c:ptCount val="1"/>
                        <c:pt idx="0">
                          <c:v>JNJ</c:v>
                        </c:pt>
                      </c15:dlblFieldTableCache>
                    </c15:dlblFTEntry>
                  </c15:dlblFieldTable>
                  <c15:showDataLabelsRange val="0"/>
                </c:ext>
                <c:ext xmlns:c16="http://schemas.microsoft.com/office/drawing/2014/chart" uri="{C3380CC4-5D6E-409C-BE32-E72D297353CC}">
                  <c16:uniqueId val="{00000002-2D4D-4514-A5B1-3391D9C782B3}"/>
                </c:ext>
              </c:extLst>
            </c:dLbl>
            <c:dLbl>
              <c:idx val="2"/>
              <c:tx>
                <c:rich>
                  <a:bodyPr/>
                  <a:lstStyle/>
                  <a:p>
                    <a:fld id="{5B672221-DB71-42CB-8B4E-A2A8F0BB2311}"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{5B672221-DB71-42CB-8B4E-A2A8F0BB2311}</c15:txfldGUID>
                      <c15:f>Calculations!$F$90</c15:f>
                      <c15:dlblFieldTableCache>
                        <c:ptCount val="1"/>
                        <c:pt idx="0">
                          <c:v>GLD</c:v>
                        </c:pt>
                      </c15:dlblFieldTableCache>
                    </c15:dlblFTEntry>
                  </c15:dlblFieldTable>
                  <c15:showDataLabelsRange val="0"/>
                </c:ext>
                <c:ext xmlns:c16="http://schemas.microsoft.com/office/drawing/2014/chart" uri="{C3380CC4-5D6E-409C-BE32-E72D297353CC}">
                  <c16:uniqueId val="{00000003-2D4D-4514-A5B1-3391D9C782B3}"/>
                </c:ext>
              </c:extLst>
            </c:dLbl>
            <c:dLbl>
              <c:idx val="3"/>
              <c:tx>
                <c:rich>
                  <a:bodyPr/>
                  <a:lstStyle/>
                  <a:p>
                    <a:fld id="{DEE92CB6-E274-45B8-B5D0-EE6B6BDAA9CD}"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{DEE92CB6-E274-45B8-B5D0-EE6B6BDAA9CD}</c15:txfldGUID>
                      <c15:f>Calculations!$G$90</c15:f>
                      <c15:dlblFieldTableCache>
                        <c:ptCount val="1"/>
                        <c:pt idx="0">
                          <c:v>VEA</c:v>
                        </c:pt>
                      </c15:dlblFieldTableCache>
                    </c15:dlblFTEntry>
                  </c15:dlblFieldTable>
                  <c15:showDataLabelsRange val="0"/>
                </c:ext>
                <c:ext xmlns:c16="http://schemas.microsoft.com/office/drawing/2014/chart" uri="{C3380CC4-5D6E-409C-BE32-E72D297353CC}">
                  <c16:uniqueId val="{00000004-2D4D-4514-A5B1-3391D9C782B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Calculations!$D$130:$G$130</c:f>
              <c:numCache>
                <c:formatCode>0.0000000%</c:formatCode>
                <c:ptCount val="4"/>
                <c:pt idx="0">
                  <c:v>0.24893987968399214</c:v>
                </c:pt>
                <c:pt idx="1">
                  <c:v>0.18274406022511422</c:v>
                </c:pt>
                <c:pt idx="2">
                  <c:v>0.16116013573881702</c:v>
                </c:pt>
                <c:pt idx="3">
                  <c:v>0.30489612527867116</c:v>
                </c:pt>
              </c:numCache>
            </c:numRef>
          </c:xVal>
          <c:yVal>
            <c:numRef>
              <c:f>Calculations!$D$129:$G$129</c:f>
              <c:numCache>
                <c:formatCode>0.0000000%</c:formatCode>
                <c:ptCount val="4"/>
                <c:pt idx="0">
                  <c:v>0.23216673980849706</c:v>
                </c:pt>
                <c:pt idx="1">
                  <c:v>7.1851093118770359E-2</c:v>
                </c:pt>
                <c:pt idx="2">
                  <c:v>8.3668827668403889E-2</c:v>
                </c:pt>
                <c:pt idx="3">
                  <c:v>0.26772744809951732</c:v>
                </c:pt>
              </c:numCache>
            </c:numRef>
          </c:yVal>
          <c:smooth val="0"/>
          <c:extLst>
            <c:ext xmlns:c16="http://schemas.microsoft.com/office/drawing/2014/chart" uri="{C3380CC4-5D6E-409C-BE32-E72D297353CC}">
              <c16:uniqueId val="{00000005-2D4D-4514-A5B1-3391D9C782B3}"/>
            </c:ext>
          </c:extLst>
        </c:ser>
        <c:ser>
          <c:idx val="2"/>
          <c:order val="2"/>
          <c:tx>
            <c:v>Tangent Portfolio</c:v>
          </c:tx>
          <c:spPr>
            <a:ln w="25400" cap="rnd">
              <a:noFill/>
              <a:round/>
            </a:ln>
            <a:effectLst/>
          </c:spPr>
          <c:marker>
            <c:symbol val="diamond"/>
            <c:size val="11"/>
            <c:spPr>
              <a:solidFill>
                <a:srgbClr val="FFC000"/>
              </a:solidFill>
              <a:ln w="9525">
                <a:solidFill>
                  <a:srgbClr val="FC8B24"/>
                </a:solidFill>
              </a:ln>
              <a:effectLst/>
            </c:spPr>
          </c:marker>
          <c:dLbls>
            <c:dLbl>
              <c:idx val="0"/>
              <c:layout>
                <c:manualLayout>
                  <c:x val="-2.0912701273314637E-2"/>
                  <c:y val="-2.9642314131117491E-2"/>
                </c:manualLayout>
              </c:layout>
              <c:tx>
                <c:rich>
                  <a:bodyPr/>
                  <a:lstStyle/>
                  <a:p>
                    <a:fld id="{5C81770B-2C9B-4078-8CB7-70627773AB7B}"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{5C81770B-2C9B-4078-8CB7-70627773AB7B}</c15:txfldGUID>
                      <c15:f>Calculations!$D$180</c15:f>
                      <c15:dlblFieldTableCache>
                        <c:ptCount val="1"/>
                        <c:pt idx="0">
                          <c:v>TP</c:v>
                        </c:pt>
                      </c15:dlblFieldTableCache>
                    </c15:dlblFTEntry>
                  </c15:dlblFieldTable>
                  <c15:showDataLabelsRange val="0"/>
                </c:ext>
                <c:ext xmlns:c16="http://schemas.microsoft.com/office/drawing/2014/chart" uri="{C3380CC4-5D6E-409C-BE32-E72D297353CC}">
                  <c16:uniqueId val="{00000003-56DD-4E15-AE2A-E00839A4291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Calculations!$H$205</c:f>
              <c:numCache>
                <c:formatCode>0.0000000%</c:formatCode>
                <c:ptCount val="1"/>
                <c:pt idx="0">
                  <c:v>0.18478759149338561</c:v>
                </c:pt>
              </c:numCache>
            </c:numRef>
          </c:xVal>
          <c:yVal>
            <c:numRef>
              <c:f>Calculations!$H$204</c:f>
              <c:numCache>
                <c:formatCode>0.0000000%</c:formatCode>
                <c:ptCount val="1"/>
                <c:pt idx="0">
                  <c:v>0.23309307655149375</c:v>
                </c:pt>
              </c:numCache>
            </c:numRef>
          </c:yVal>
          <c:smooth val="0"/>
          <c:extLst>
            <c:ext xmlns:c16="http://schemas.microsoft.com/office/drawing/2014/chart" uri="{C3380CC4-5D6E-409C-BE32-E72D297353CC}">
              <c16:uniqueId val="{00000006-2D4D-4514-A5B1-3391D9C782B3}"/>
            </c:ext>
          </c:extLst>
        </c:ser>
        <c:ser>
          <c:idx val="3"/>
          <c:order val="3"/>
          <c:tx>
            <c:v>Capital Market Line</c:v>
          </c:tx>
          <c:spPr>
            <a:ln w="25400" cap="rnd">
              <a:noFill/>
              <a:round/>
            </a:ln>
            <a:effectLst/>
          </c:spPr>
          <c:marker>
            <c:symbol val="none"/>
          </c:marker>
          <c:dPt>
            <c:idx val="1"/>
            <c:marker>
              <c:symbol val="none"/>
            </c:marker>
            <c:bubble3D val="0"/>
            <c:extLst>
              <c:ext xmlns:c16="http://schemas.microsoft.com/office/drawing/2014/chart" uri="{C3380CC4-5D6E-409C-BE32-E72D297353CC}">
                <c16:uniqueId val="{0000000A-2D4D-4514-A5B1-3391D9C782B3}"/>
              </c:ext>
            </c:extLst>
          </c:dPt>
          <c:trendline>
            <c:name>Capital Market Line (CML)</c:name>
            <c:spPr>
              <a:ln w="25400" cap="rnd">
                <a:solidFill>
                  <a:srgbClr val="FC8B24">
                    <a:alpha val="50000"/>
                  </a:srgbClr>
                </a:solidFill>
                <a:prstDash val="sysDot"/>
              </a:ln>
              <a:effectLst/>
            </c:spPr>
            <c:trendlineType val="linear"/>
            <c:forward val="0.13"/>
            <c:dispRSqr val="0"/>
            <c:dispEq val="0"/>
          </c:trendline>
          <c:xVal>
            <c:numRef>
              <c:f>Calculations!$C$182:$D$182</c:f>
              <c:numCache>
                <c:formatCode>0.0000000%</c:formatCode>
                <c:ptCount val="2"/>
                <c:pt idx="0" formatCode="0%">
                  <c:v>0</c:v>
                </c:pt>
                <c:pt idx="1">
                  <c:v>0.18478759149338561</c:v>
                </c:pt>
              </c:numCache>
            </c:numRef>
          </c:xVal>
          <c:yVal>
            <c:numRef>
              <c:f>Calculations!$C$181:$D$181</c:f>
              <c:numCache>
                <c:formatCode>0.0000000%</c:formatCode>
                <c:ptCount val="2"/>
                <c:pt idx="0" formatCode="0%">
                  <c:v>0.01</c:v>
                </c:pt>
                <c:pt idx="1">
                  <c:v>0.23309307655149375</c:v>
                </c:pt>
              </c:numCache>
            </c:numRef>
          </c:yVal>
          <c:smooth val="0"/>
          <c:extLst>
            <c:ext xmlns:c16="http://schemas.microsoft.com/office/drawing/2014/chart" uri="{C3380CC4-5D6E-409C-BE32-E72D297353CC}">
              <c16:uniqueId val="{00000007-2D4D-4514-A5B1-3391D9C782B3}"/>
            </c:ext>
          </c:extLst>
        </c:ser>
        <c:ser>
          <c:idx val="4"/>
          <c:order val="4"/>
          <c:tx>
            <c:v>Risk Free Rate (Rf)</c:v>
          </c:tx>
          <c:spPr>
            <a:ln w="25400" cap="rnd">
              <a:noFill/>
              <a:round/>
            </a:ln>
            <a:effectLst/>
          </c:spPr>
          <c:marker>
            <c:symbol val="circle"/>
            <c:size val="5"/>
            <c:spPr>
              <a:solidFill>
                <a:schemeClr val="accent4">
                  <a:lumMod val="60000"/>
                  <a:lumOff val="40000"/>
                </a:schemeClr>
              </a:solidFill>
              <a:ln w="9525">
                <a:solidFill>
                  <a:srgbClr val="0B7EFD"/>
                </a:solidFill>
              </a:ln>
              <a:effectLst/>
            </c:spPr>
          </c:marker>
          <c:dPt>
            <c:idx val="0"/>
            <c:marker>
              <c:symbol val="circle"/>
              <c:size val="8"/>
              <c:spPr>
                <a:solidFill>
                  <a:schemeClr val="accent4">
                    <a:lumMod val="60000"/>
                    <a:lumOff val="40000"/>
                  </a:schemeClr>
                </a:solidFill>
                <a:ln w="9525">
                  <a:solidFill>
                    <a:srgbClr val="0B7EFD"/>
                  </a:solidFill>
                </a:ln>
                <a:effectLst/>
              </c:spPr>
            </c:marker>
            <c:bubble3D val="0"/>
            <c:extLst>
              <c:ext xmlns:c16="http://schemas.microsoft.com/office/drawing/2014/chart" uri="{C3380CC4-5D6E-409C-BE32-E72D297353CC}">
                <c16:uniqueId val="{00000019-56DD-4E15-AE2A-E00839A42916}"/>
              </c:ext>
            </c:extLst>
          </c:dPt>
          <c:dLbls>
            <c:dLbl>
              <c:idx val="0"/>
              <c:layout>
                <c:manualLayout>
                  <c:x val="-2.4426197302677415E-2"/>
                  <c:y val="-2.2668501036940136E-2"/>
                </c:manualLayout>
              </c:layout>
              <c:tx>
                <c:rich>
                  <a:bodyPr/>
                  <a:lstStyle/>
                  <a:p>
                    <a:fld id="{55778DED-FB04-485E-9C66-07544C121314}"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{55778DED-FB04-485E-9C66-07544C121314}</c15:txfldGUID>
                      <c15:f>Calculations!$C$180</c15:f>
                      <c15:dlblFieldTableCache>
                        <c:ptCount val="1"/>
                        <c:pt idx="0">
                          <c:v>Rf</c:v>
                        </c:pt>
                      </c15:dlblFieldTableCache>
                    </c15:dlblFTEntry>
                  </c15:dlblFieldTable>
                  <c15:showDataLabelsRange val="0"/>
                </c:ext>
                <c:ext xmlns:c16="http://schemas.microsoft.com/office/drawing/2014/chart" uri="{C3380CC4-5D6E-409C-BE32-E72D297353CC}">
                  <c16:uniqueId val="{00000019-56DD-4E15-AE2A-E00839A4291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1"/>
              <c:pt idx="0">
                <c:v>0</c:v>
              </c:pt>
            </c:numLit>
          </c:xVal>
          <c:yVal>
            <c:numLit>
              <c:formatCode>General</c:formatCode>
              <c:ptCount val="1"/>
              <c:pt idx="0">
                <c:v>0.01</c:v>
              </c:pt>
            </c:numLit>
          </c:yVal>
          <c:smooth val="0"/>
          <c:extLst>
            <c:ext xmlns:c16="http://schemas.microsoft.com/office/drawing/2014/chart" uri="{C3380CC4-5D6E-409C-BE32-E72D297353CC}">
              <c16:uniqueId val="{00000018-56DD-4E15-AE2A-E00839A42916}"/>
            </c:ext>
          </c:extLst>
        </c:ser>
        <c:dLbls>
          <c:showLegendKey val="0"/>
          <c:showVal val="0"/>
          <c:showCatName val="0"/>
          <c:showSerName val="0"/>
          <c:showPercent val="0"/>
          <c:showBubbleSize val="0"/>
        </c:dLbls>
        <c:axId val="2067701456"/>
        <c:axId val="2067713456"/>
      </c:scatterChart>
      <c:valAx>
        <c:axId val="2067701456"/>
        <c:scaling>
          <c:orientation val="minMax"/>
          <c:max val="0.32000000000000006"/>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Risk (%)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13456"/>
        <c:crosses val="autoZero"/>
        <c:crossBetween val="midCat"/>
      </c:valAx>
      <c:valAx>
        <c:axId val="206771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01456"/>
        <c:crosses val="autoZero"/>
        <c:crossBetween val="midCat"/>
      </c:valAx>
      <c:spPr>
        <a:noFill/>
        <a:ln>
          <a:noFill/>
        </a:ln>
        <a:effectLst/>
      </c:spPr>
    </c:plotArea>
    <c:legend>
      <c:legendPos val="r"/>
      <c:legendEntry>
        <c:idx val="3"/>
        <c:delete val="1"/>
      </c:legendEntry>
      <c:layout>
        <c:manualLayout>
          <c:xMode val="edge"/>
          <c:yMode val="edge"/>
          <c:x val="0.81368962332743766"/>
          <c:y val="0.35562968298688669"/>
          <c:w val="0.14798257481178967"/>
          <c:h val="0.42531760942127661"/>
        </c:manualLayout>
      </c:layout>
      <c:overlay val="0"/>
      <c:spPr>
        <a:noFill/>
        <a:ln cap="rnd">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 vs MSFT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285695081550615E-2"/>
          <c:y val="0.18212887283345391"/>
          <c:w val="0.6894666477606497"/>
          <c:h val="0.69901330734012879"/>
        </c:manualLayout>
      </c:layout>
      <c:scatterChart>
        <c:scatterStyle val="lineMarker"/>
        <c:varyColors val="0"/>
        <c:ser>
          <c:idx val="0"/>
          <c:order val="0"/>
          <c:tx>
            <c:v>TP vs MSFT</c:v>
          </c:tx>
          <c:spPr>
            <a:ln w="25400" cap="rnd">
              <a:noFill/>
              <a:round/>
            </a:ln>
            <a:effectLst/>
          </c:spPr>
          <c:marker>
            <c:symbol val="circle"/>
            <c:size val="6"/>
            <c:spPr>
              <a:solidFill>
                <a:srgbClr val="92D050"/>
              </a:solidFill>
              <a:ln w="9525">
                <a:solidFill>
                  <a:schemeClr val="accent6">
                    <a:lumMod val="75000"/>
                  </a:schemeClr>
                </a:solidFill>
              </a:ln>
              <a:effectLst/>
            </c:spPr>
          </c:marker>
          <c:trendline>
            <c:name>Regression Line</c:name>
            <c:spPr>
              <a:ln w="19050" cap="rnd">
                <a:solidFill>
                  <a:schemeClr val="tx1"/>
                </a:solidFill>
                <a:prstDash val="sysDot"/>
              </a:ln>
              <a:effectLst/>
            </c:spPr>
            <c:trendlineType val="linear"/>
            <c:dispRSqr val="0"/>
            <c:dispEq val="1"/>
            <c:trendlineLbl>
              <c:layout>
                <c:manualLayout>
                  <c:x val="-0.42173645626356954"/>
                  <c:y val="-0.193572172320717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Calculations!$C$214:$C$249</c:f>
              <c:numCache>
                <c:formatCode>General</c:formatCode>
                <c:ptCount val="36"/>
                <c:pt idx="0">
                  <c:v>0.13241050642788854</c:v>
                </c:pt>
                <c:pt idx="1">
                  <c:v>6.7921319747848555E-2</c:v>
                </c:pt>
                <c:pt idx="2">
                  <c:v>0.10176148461324225</c:v>
                </c:pt>
                <c:pt idx="3">
                  <c:v>-3.2484638391783789E-2</c:v>
                </c:pt>
                <c:pt idx="4">
                  <c:v>6.778837596316184E-2</c:v>
                </c:pt>
                <c:pt idx="5">
                  <c:v>-5.7201433354378189E-2</c:v>
                </c:pt>
                <c:pt idx="6">
                  <c:v>-6.5437154138143466E-2</c:v>
                </c:pt>
                <c:pt idx="7">
                  <c:v>8.3279669678086643E-2</c:v>
                </c:pt>
                <c:pt idx="8">
                  <c:v>2.0909493519127687E-2</c:v>
                </c:pt>
                <c:pt idx="9">
                  <c:v>-1.608616691931487E-2</c:v>
                </c:pt>
                <c:pt idx="10">
                  <c:v>-2.3286005339621423E-2</c:v>
                </c:pt>
                <c:pt idx="11">
                  <c:v>9.7847071532123596E-3</c:v>
                </c:pt>
                <c:pt idx="12">
                  <c:v>0.10450366773830944</c:v>
                </c:pt>
                <c:pt idx="13">
                  <c:v>1.7449285288253551E-2</c:v>
                </c:pt>
                <c:pt idx="14">
                  <c:v>1.6785344308457642E-2</c:v>
                </c:pt>
                <c:pt idx="15">
                  <c:v>5.55128238479113E-2</c:v>
                </c:pt>
                <c:pt idx="16">
                  <c:v>4.5777167830373763E-2</c:v>
                </c:pt>
                <c:pt idx="17">
                  <c:v>8.63748210000128E-3</c:v>
                </c:pt>
                <c:pt idx="18">
                  <c:v>6.9147966461036353E-2</c:v>
                </c:pt>
                <c:pt idx="19">
                  <c:v>-2.2794041810969546E-2</c:v>
                </c:pt>
                <c:pt idx="20">
                  <c:v>3.8855418558385105E-2</c:v>
                </c:pt>
                <c:pt idx="21">
                  <c:v>-7.5796945195368559E-2</c:v>
                </c:pt>
                <c:pt idx="22">
                  <c:v>4.2342850695971671E-2</c:v>
                </c:pt>
                <c:pt idx="23">
                  <c:v>2.2488151418640703E-3</c:v>
                </c:pt>
                <c:pt idx="24">
                  <c:v>2.5729360288410469E-2</c:v>
                </c:pt>
                <c:pt idx="25">
                  <c:v>-9.137095306395478E-3</c:v>
                </c:pt>
                <c:pt idx="26">
                  <c:v>-2.2495890456563486E-2</c:v>
                </c:pt>
                <c:pt idx="27">
                  <c:v>1.3019471384137234E-2</c:v>
                </c:pt>
                <c:pt idx="28">
                  <c:v>1.0935700016282177E-2</c:v>
                </c:pt>
                <c:pt idx="29">
                  <c:v>-0.1081823302555497</c:v>
                </c:pt>
                <c:pt idx="30">
                  <c:v>3.0152999629183396E-2</c:v>
                </c:pt>
                <c:pt idx="31">
                  <c:v>4.8422306859767374E-2</c:v>
                </c:pt>
                <c:pt idx="32">
                  <c:v>-3.2077263026922154E-2</c:v>
                </c:pt>
                <c:pt idx="33">
                  <c:v>4.9210065761548655E-2</c:v>
                </c:pt>
                <c:pt idx="34">
                  <c:v>1.2290235273637784E-2</c:v>
                </c:pt>
                <c:pt idx="35">
                  <c:v>8.9381675563392923E-2</c:v>
                </c:pt>
              </c:numCache>
            </c:numRef>
          </c:xVal>
          <c:yVal>
            <c:numRef>
              <c:f>Calculations!$D$214:$D$249</c:f>
              <c:numCache>
                <c:formatCode>General</c:formatCode>
                <c:ptCount val="36"/>
                <c:pt idx="0">
                  <c:v>0.13632616828355837</c:v>
                </c:pt>
                <c:pt idx="1">
                  <c:v>2.2543384855755688E-2</c:v>
                </c:pt>
                <c:pt idx="2">
                  <c:v>0.11055934515688937</c:v>
                </c:pt>
                <c:pt idx="3">
                  <c:v>7.3706451771411441E-3</c:v>
                </c:pt>
                <c:pt idx="4">
                  <c:v>0.1000926784059315</c:v>
                </c:pt>
                <c:pt idx="5">
                  <c:v>-6.7396798652063938E-2</c:v>
                </c:pt>
                <c:pt idx="6">
                  <c:v>-3.7369847382684451E-2</c:v>
                </c:pt>
                <c:pt idx="7">
                  <c:v>5.7292438385933675E-2</c:v>
                </c:pt>
                <c:pt idx="8">
                  <c:v>3.9005932638856322E-2</c:v>
                </c:pt>
                <c:pt idx="9">
                  <c:v>4.289182627461563E-2</c:v>
                </c:pt>
                <c:pt idx="10">
                  <c:v>1.8106570098292973E-3</c:v>
                </c:pt>
                <c:pt idx="11">
                  <c:v>1.4588174541698917E-2</c:v>
                </c:pt>
                <c:pt idx="12">
                  <c:v>6.9601730500063574E-2</c:v>
                </c:pt>
                <c:pt idx="13">
                  <c:v>-9.9135538107700816E-3</c:v>
                </c:pt>
                <c:pt idx="14">
                  <c:v>8.4988785645626175E-2</c:v>
                </c:pt>
                <c:pt idx="15">
                  <c:v>5.1716500553710132E-2</c:v>
                </c:pt>
                <c:pt idx="16">
                  <c:v>5.9562668912990002E-2</c:v>
                </c:pt>
                <c:pt idx="17">
                  <c:v>-6.6118987677222685E-2</c:v>
                </c:pt>
                <c:pt idx="18">
                  <c:v>0.1762911464245176</c:v>
                </c:pt>
                <c:pt idx="19">
                  <c:v>-3.105964658344007E-3</c:v>
                </c:pt>
                <c:pt idx="20">
                  <c:v>1.7332647690492919E-2</c:v>
                </c:pt>
                <c:pt idx="21">
                  <c:v>-7.5344909609895261E-2</c:v>
                </c:pt>
                <c:pt idx="22">
                  <c:v>-3.9198662293395081E-2</c:v>
                </c:pt>
                <c:pt idx="23">
                  <c:v>3.1861842765822157E-2</c:v>
                </c:pt>
                <c:pt idx="24">
                  <c:v>-9.9867016963445909E-2</c:v>
                </c:pt>
                <c:pt idx="25">
                  <c:v>-2.0358893052752847E-2</c:v>
                </c:pt>
                <c:pt idx="26">
                  <c:v>-5.5320557619450539E-2</c:v>
                </c:pt>
                <c:pt idx="27">
                  <c:v>9.3096600864385204E-2</c:v>
                </c:pt>
                <c:pt idx="28">
                  <c:v>-6.8640022796893851E-2</c:v>
                </c:pt>
                <c:pt idx="29">
                  <c:v>-0.10926683749569743</c:v>
                </c:pt>
                <c:pt idx="30">
                  <c:v>-3.3061399742378983E-3</c:v>
                </c:pt>
                <c:pt idx="31">
                  <c:v>9.9125490027139884E-2</c:v>
                </c:pt>
                <c:pt idx="32">
                  <c:v>-6.0045465234773054E-2</c:v>
                </c:pt>
                <c:pt idx="33">
                  <c:v>3.3316654157284686E-2</c:v>
                </c:pt>
                <c:pt idx="34">
                  <c:v>6.4969129575076501E-3</c:v>
                </c:pt>
                <c:pt idx="35">
                  <c:v>0.15588164541736838</c:v>
                </c:pt>
              </c:numCache>
            </c:numRef>
          </c:yVal>
          <c:smooth val="0"/>
          <c:extLst>
            <c:ext xmlns:c16="http://schemas.microsoft.com/office/drawing/2014/chart" uri="{C3380CC4-5D6E-409C-BE32-E72D297353CC}">
              <c16:uniqueId val="{00000000-445D-4112-AEBF-5C890ECFFAA3}"/>
            </c:ext>
          </c:extLst>
        </c:ser>
        <c:dLbls>
          <c:showLegendKey val="0"/>
          <c:showVal val="0"/>
          <c:showCatName val="0"/>
          <c:showSerName val="0"/>
          <c:showPercent val="0"/>
          <c:showBubbleSize val="0"/>
        </c:dLbls>
        <c:axId val="1430222559"/>
        <c:axId val="1430222079"/>
      </c:scatterChart>
      <c:valAx>
        <c:axId val="1430222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Tangent Portfolio</a:t>
                </a:r>
                <a:r>
                  <a:rPr lang="en-CA" baseline="0"/>
                  <a:t> Returns</a:t>
                </a:r>
              </a:p>
            </c:rich>
          </c:tx>
          <c:layout>
            <c:manualLayout>
              <c:xMode val="edge"/>
              <c:yMode val="edge"/>
              <c:x val="0.32500578878736819"/>
              <c:y val="0.903785526809148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079"/>
        <c:crosses val="autoZero"/>
        <c:crossBetween val="midCat"/>
      </c:valAx>
      <c:valAx>
        <c:axId val="143022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MSFT Returns</a:t>
                </a:r>
              </a:p>
            </c:rich>
          </c:tx>
          <c:layout>
            <c:manualLayout>
              <c:xMode val="edge"/>
              <c:yMode val="edge"/>
              <c:x val="1.6415412983354513E-2"/>
              <c:y val="0.28595238095238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559"/>
        <c:crosses val="autoZero"/>
        <c:crossBetween val="midCat"/>
      </c:valAx>
      <c:spPr>
        <a:noFill/>
        <a:ln>
          <a:noFill/>
        </a:ln>
        <a:effectLst/>
      </c:spPr>
    </c:plotArea>
    <c:legend>
      <c:legendPos val="r"/>
      <c:layout>
        <c:manualLayout>
          <c:xMode val="edge"/>
          <c:yMode val="edge"/>
          <c:x val="0.78585621237595227"/>
          <c:y val="0.48119236737027982"/>
          <c:w val="0.17197093160884711"/>
          <c:h val="0.239385968541365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 vs GLD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20761841775426E-2"/>
          <c:y val="0.18218635382465526"/>
          <c:w val="0.68559966468633216"/>
          <c:h val="0.68909429932535315"/>
        </c:manualLayout>
      </c:layout>
      <c:scatterChart>
        <c:scatterStyle val="lineMarker"/>
        <c:varyColors val="0"/>
        <c:ser>
          <c:idx val="0"/>
          <c:order val="0"/>
          <c:tx>
            <c:v>TP vs GLD</c:v>
          </c:tx>
          <c:spPr>
            <a:ln w="25400" cap="rnd">
              <a:noFill/>
              <a:round/>
            </a:ln>
            <a:effectLst/>
          </c:spPr>
          <c:marker>
            <c:symbol val="circle"/>
            <c:size val="6"/>
            <c:spPr>
              <a:solidFill>
                <a:srgbClr val="92D050"/>
              </a:solidFill>
              <a:ln w="9525">
                <a:solidFill>
                  <a:schemeClr val="accent3">
                    <a:lumMod val="75000"/>
                  </a:schemeClr>
                </a:solidFill>
              </a:ln>
              <a:effectLst/>
            </c:spPr>
          </c:marker>
          <c:trendline>
            <c:name>Regression Line</c:name>
            <c:spPr>
              <a:ln w="19050" cap="rnd">
                <a:solidFill>
                  <a:schemeClr val="tx1"/>
                </a:solidFill>
                <a:prstDash val="sysDot"/>
              </a:ln>
              <a:effectLst/>
            </c:spPr>
            <c:trendlineType val="linear"/>
            <c:dispRSqr val="0"/>
            <c:dispEq val="1"/>
            <c:trendlineLbl>
              <c:layout>
                <c:manualLayout>
                  <c:x val="-0.44614171342856568"/>
                  <c:y val="-0.291677705790869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Calculations!$C$214:$C$249</c:f>
              <c:numCache>
                <c:formatCode>General</c:formatCode>
                <c:ptCount val="36"/>
                <c:pt idx="0">
                  <c:v>0.13241050642788854</c:v>
                </c:pt>
                <c:pt idx="1">
                  <c:v>6.7921319747848555E-2</c:v>
                </c:pt>
                <c:pt idx="2">
                  <c:v>0.10176148461324225</c:v>
                </c:pt>
                <c:pt idx="3">
                  <c:v>-3.2484638391783789E-2</c:v>
                </c:pt>
                <c:pt idx="4">
                  <c:v>6.778837596316184E-2</c:v>
                </c:pt>
                <c:pt idx="5">
                  <c:v>-5.7201433354378189E-2</c:v>
                </c:pt>
                <c:pt idx="6">
                  <c:v>-6.5437154138143466E-2</c:v>
                </c:pt>
                <c:pt idx="7">
                  <c:v>8.3279669678086643E-2</c:v>
                </c:pt>
                <c:pt idx="8">
                  <c:v>2.0909493519127687E-2</c:v>
                </c:pt>
                <c:pt idx="9">
                  <c:v>-1.608616691931487E-2</c:v>
                </c:pt>
                <c:pt idx="10">
                  <c:v>-2.3286005339621423E-2</c:v>
                </c:pt>
                <c:pt idx="11">
                  <c:v>9.7847071532123596E-3</c:v>
                </c:pt>
                <c:pt idx="12">
                  <c:v>0.10450366773830944</c:v>
                </c:pt>
                <c:pt idx="13">
                  <c:v>1.7449285288253551E-2</c:v>
                </c:pt>
                <c:pt idx="14">
                  <c:v>1.6785344308457642E-2</c:v>
                </c:pt>
                <c:pt idx="15">
                  <c:v>5.55128238479113E-2</c:v>
                </c:pt>
                <c:pt idx="16">
                  <c:v>4.5777167830373763E-2</c:v>
                </c:pt>
                <c:pt idx="17">
                  <c:v>8.63748210000128E-3</c:v>
                </c:pt>
                <c:pt idx="18">
                  <c:v>6.9147966461036353E-2</c:v>
                </c:pt>
                <c:pt idx="19">
                  <c:v>-2.2794041810969546E-2</c:v>
                </c:pt>
                <c:pt idx="20">
                  <c:v>3.8855418558385105E-2</c:v>
                </c:pt>
                <c:pt idx="21">
                  <c:v>-7.5796945195368559E-2</c:v>
                </c:pt>
                <c:pt idx="22">
                  <c:v>4.2342850695971671E-2</c:v>
                </c:pt>
                <c:pt idx="23">
                  <c:v>2.2488151418640703E-3</c:v>
                </c:pt>
                <c:pt idx="24">
                  <c:v>2.5729360288410469E-2</c:v>
                </c:pt>
                <c:pt idx="25">
                  <c:v>-9.137095306395478E-3</c:v>
                </c:pt>
                <c:pt idx="26">
                  <c:v>-2.2495890456563486E-2</c:v>
                </c:pt>
                <c:pt idx="27">
                  <c:v>1.3019471384137234E-2</c:v>
                </c:pt>
                <c:pt idx="28">
                  <c:v>1.0935700016282177E-2</c:v>
                </c:pt>
                <c:pt idx="29">
                  <c:v>-0.1081823302555497</c:v>
                </c:pt>
                <c:pt idx="30">
                  <c:v>3.0152999629183396E-2</c:v>
                </c:pt>
                <c:pt idx="31">
                  <c:v>4.8422306859767374E-2</c:v>
                </c:pt>
                <c:pt idx="32">
                  <c:v>-3.2077263026922154E-2</c:v>
                </c:pt>
                <c:pt idx="33">
                  <c:v>4.9210065761548655E-2</c:v>
                </c:pt>
                <c:pt idx="34">
                  <c:v>1.2290235273637784E-2</c:v>
                </c:pt>
                <c:pt idx="35">
                  <c:v>8.9381675563392923E-2</c:v>
                </c:pt>
              </c:numCache>
            </c:numRef>
          </c:xVal>
          <c:yVal>
            <c:numRef>
              <c:f>Calculations!$F$214:$F$249</c:f>
              <c:numCache>
                <c:formatCode>General</c:formatCode>
                <c:ptCount val="36"/>
                <c:pt idx="0">
                  <c:v>7.2610604525498168E-2</c:v>
                </c:pt>
                <c:pt idx="1">
                  <c:v>2.5881612090679962E-2</c:v>
                </c:pt>
                <c:pt idx="2">
                  <c:v>2.7377079368976709E-2</c:v>
                </c:pt>
                <c:pt idx="3">
                  <c:v>0.10790464240903397</c:v>
                </c:pt>
                <c:pt idx="4">
                  <c:v>-3.2357223750202335E-3</c:v>
                </c:pt>
                <c:pt idx="5">
                  <c:v>-4.171400746632048E-2</c:v>
                </c:pt>
                <c:pt idx="6">
                  <c:v>-5.1942186088528297E-3</c:v>
                </c:pt>
                <c:pt idx="7">
                  <c:v>-5.4086265607264483E-2</c:v>
                </c:pt>
                <c:pt idx="8">
                  <c:v>7.013859722805571E-2</c:v>
                </c:pt>
                <c:pt idx="9">
                  <c:v>-3.2238169993272003E-2</c:v>
                </c:pt>
                <c:pt idx="10">
                  <c:v>-6.2568796709344787E-2</c:v>
                </c:pt>
                <c:pt idx="11">
                  <c:v>-1.1433162350905302E-2</c:v>
                </c:pt>
                <c:pt idx="12">
                  <c:v>3.5633908477119114E-2</c:v>
                </c:pt>
                <c:pt idx="13">
                  <c:v>7.6783773994929305E-2</c:v>
                </c:pt>
                <c:pt idx="14">
                  <c:v>-7.1476622939791512E-2</c:v>
                </c:pt>
                <c:pt idx="15">
                  <c:v>2.5297349513976997E-2</c:v>
                </c:pt>
                <c:pt idx="16">
                  <c:v>-7.6551642916022899E-4</c:v>
                </c:pt>
                <c:pt idx="17">
                  <c:v>-3.2235252519299928E-2</c:v>
                </c:pt>
                <c:pt idx="18">
                  <c:v>1.479722323712096E-2</c:v>
                </c:pt>
                <c:pt idx="19">
                  <c:v>-6.9006900690069539E-3</c:v>
                </c:pt>
                <c:pt idx="20">
                  <c:v>3.2990936555891359E-2</c:v>
                </c:pt>
                <c:pt idx="21">
                  <c:v>-1.6787552643893311E-2</c:v>
                </c:pt>
                <c:pt idx="22">
                  <c:v>6.1217205068713199E-2</c:v>
                </c:pt>
                <c:pt idx="23">
                  <c:v>1.27256418881041E-2</c:v>
                </c:pt>
                <c:pt idx="24">
                  <c:v>-2.0703016883476422E-2</c:v>
                </c:pt>
                <c:pt idx="25">
                  <c:v>-3.2615454185744186E-2</c:v>
                </c:pt>
                <c:pt idx="26">
                  <c:v>-1.5659693817926756E-2</c:v>
                </c:pt>
                <c:pt idx="27">
                  <c:v>-2.5881514899679492E-2</c:v>
                </c:pt>
                <c:pt idx="28">
                  <c:v>-2.9433272394881027E-2</c:v>
                </c:pt>
                <c:pt idx="29">
                  <c:v>-2.8881773089721952E-2</c:v>
                </c:pt>
                <c:pt idx="30">
                  <c:v>-1.7844443007693722E-2</c:v>
                </c:pt>
                <c:pt idx="31">
                  <c:v>8.4918701862945145E-2</c:v>
                </c:pt>
                <c:pt idx="32">
                  <c:v>2.930647412171572E-2</c:v>
                </c:pt>
                <c:pt idx="33">
                  <c:v>5.7592548927139831E-2</c:v>
                </c:pt>
                <c:pt idx="34">
                  <c:v>-5.3675937796109463E-2</c:v>
                </c:pt>
                <c:pt idx="35">
                  <c:v>7.9161267522676493E-2</c:v>
                </c:pt>
              </c:numCache>
            </c:numRef>
          </c:yVal>
          <c:smooth val="0"/>
          <c:extLst>
            <c:ext xmlns:c16="http://schemas.microsoft.com/office/drawing/2014/chart" uri="{C3380CC4-5D6E-409C-BE32-E72D297353CC}">
              <c16:uniqueId val="{00000002-6893-42F4-AEDC-119EF38F8F12}"/>
            </c:ext>
          </c:extLst>
        </c:ser>
        <c:dLbls>
          <c:showLegendKey val="0"/>
          <c:showVal val="0"/>
          <c:showCatName val="0"/>
          <c:showSerName val="0"/>
          <c:showPercent val="0"/>
          <c:showBubbleSize val="0"/>
        </c:dLbls>
        <c:axId val="1430222559"/>
        <c:axId val="1430222079"/>
      </c:scatterChart>
      <c:valAx>
        <c:axId val="1430222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kern="1200" baseline="0">
                    <a:solidFill>
                      <a:sysClr val="windowText" lastClr="000000">
                        <a:lumMod val="65000"/>
                        <a:lumOff val="35000"/>
                      </a:sysClr>
                    </a:solidFill>
                  </a:rPr>
                  <a:t>Tangent Portfolio Returns</a:t>
                </a:r>
              </a:p>
            </c:rich>
          </c:tx>
          <c:layout>
            <c:manualLayout>
              <c:xMode val="edge"/>
              <c:yMode val="edge"/>
              <c:x val="0.3154571200477117"/>
              <c:y val="0.903963663949921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079"/>
        <c:crosses val="autoZero"/>
        <c:crossBetween val="midCat"/>
      </c:valAx>
      <c:valAx>
        <c:axId val="143022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GLD Returns</a:t>
                </a:r>
              </a:p>
            </c:rich>
          </c:tx>
          <c:layout>
            <c:manualLayout>
              <c:xMode val="edge"/>
              <c:yMode val="edge"/>
              <c:x val="1.8736506626287282E-2"/>
              <c:y val="0.329126288807375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559"/>
        <c:crosses val="autoZero"/>
        <c:crossBetween val="midCat"/>
      </c:valAx>
      <c:spPr>
        <a:noFill/>
        <a:ln>
          <a:noFill/>
        </a:ln>
        <a:effectLst/>
      </c:spPr>
    </c:plotArea>
    <c:legend>
      <c:legendPos val="r"/>
      <c:layout>
        <c:manualLayout>
          <c:xMode val="edge"/>
          <c:yMode val="edge"/>
          <c:x val="0.7958807473639935"/>
          <c:y val="0.4124183282079566"/>
          <c:w val="0.17375490064272744"/>
          <c:h val="0.29064760640836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 vs JNJ Regression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267920379024307E-2"/>
          <c:y val="0.18212887283345391"/>
          <c:w val="0.68912447649693576"/>
          <c:h val="0.689192392115893"/>
        </c:manualLayout>
      </c:layout>
      <c:scatterChart>
        <c:scatterStyle val="lineMarker"/>
        <c:varyColors val="0"/>
        <c:ser>
          <c:idx val="0"/>
          <c:order val="0"/>
          <c:tx>
            <c:v>TP vs JNJ</c:v>
          </c:tx>
          <c:spPr>
            <a:ln w="25400" cap="rnd">
              <a:noFill/>
              <a:round/>
            </a:ln>
            <a:effectLst/>
          </c:spPr>
          <c:marker>
            <c:symbol val="circle"/>
            <c:size val="6"/>
            <c:spPr>
              <a:solidFill>
                <a:srgbClr val="92D050"/>
              </a:solidFill>
              <a:ln w="9525">
                <a:solidFill>
                  <a:schemeClr val="accent3">
                    <a:lumMod val="75000"/>
                  </a:schemeClr>
                </a:solidFill>
              </a:ln>
              <a:effectLst/>
            </c:spPr>
          </c:marker>
          <c:trendline>
            <c:name>Regression Line</c:name>
            <c:spPr>
              <a:ln w="19050" cap="rnd">
                <a:solidFill>
                  <a:schemeClr val="tx1"/>
                </a:solidFill>
                <a:prstDash val="sysDot"/>
              </a:ln>
              <a:effectLst/>
            </c:spPr>
            <c:trendlineType val="linear"/>
            <c:dispRSqr val="0"/>
            <c:dispEq val="1"/>
            <c:trendlineLbl>
              <c:layout>
                <c:manualLayout>
                  <c:x val="-0.43270105074535525"/>
                  <c:y val="-0.441622797150356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Calculations!$C$214:$C$249</c:f>
              <c:numCache>
                <c:formatCode>General</c:formatCode>
                <c:ptCount val="36"/>
                <c:pt idx="0">
                  <c:v>0.13241050642788854</c:v>
                </c:pt>
                <c:pt idx="1">
                  <c:v>6.7921319747848555E-2</c:v>
                </c:pt>
                <c:pt idx="2">
                  <c:v>0.10176148461324225</c:v>
                </c:pt>
                <c:pt idx="3">
                  <c:v>-3.2484638391783789E-2</c:v>
                </c:pt>
                <c:pt idx="4">
                  <c:v>6.778837596316184E-2</c:v>
                </c:pt>
                <c:pt idx="5">
                  <c:v>-5.7201433354378189E-2</c:v>
                </c:pt>
                <c:pt idx="6">
                  <c:v>-6.5437154138143466E-2</c:v>
                </c:pt>
                <c:pt idx="7">
                  <c:v>8.3279669678086643E-2</c:v>
                </c:pt>
                <c:pt idx="8">
                  <c:v>2.0909493519127687E-2</c:v>
                </c:pt>
                <c:pt idx="9">
                  <c:v>-1.608616691931487E-2</c:v>
                </c:pt>
                <c:pt idx="10">
                  <c:v>-2.3286005339621423E-2</c:v>
                </c:pt>
                <c:pt idx="11">
                  <c:v>9.7847071532123596E-3</c:v>
                </c:pt>
                <c:pt idx="12">
                  <c:v>0.10450366773830944</c:v>
                </c:pt>
                <c:pt idx="13">
                  <c:v>1.7449285288253551E-2</c:v>
                </c:pt>
                <c:pt idx="14">
                  <c:v>1.6785344308457642E-2</c:v>
                </c:pt>
                <c:pt idx="15">
                  <c:v>5.55128238479113E-2</c:v>
                </c:pt>
                <c:pt idx="16">
                  <c:v>4.5777167830373763E-2</c:v>
                </c:pt>
                <c:pt idx="17">
                  <c:v>8.63748210000128E-3</c:v>
                </c:pt>
                <c:pt idx="18">
                  <c:v>6.9147966461036353E-2</c:v>
                </c:pt>
                <c:pt idx="19">
                  <c:v>-2.2794041810969546E-2</c:v>
                </c:pt>
                <c:pt idx="20">
                  <c:v>3.8855418558385105E-2</c:v>
                </c:pt>
                <c:pt idx="21">
                  <c:v>-7.5796945195368559E-2</c:v>
                </c:pt>
                <c:pt idx="22">
                  <c:v>4.2342850695971671E-2</c:v>
                </c:pt>
                <c:pt idx="23">
                  <c:v>2.2488151418640703E-3</c:v>
                </c:pt>
                <c:pt idx="24">
                  <c:v>2.5729360288410469E-2</c:v>
                </c:pt>
                <c:pt idx="25">
                  <c:v>-9.137095306395478E-3</c:v>
                </c:pt>
                <c:pt idx="26">
                  <c:v>-2.2495890456563486E-2</c:v>
                </c:pt>
                <c:pt idx="27">
                  <c:v>1.3019471384137234E-2</c:v>
                </c:pt>
                <c:pt idx="28">
                  <c:v>1.0935700016282177E-2</c:v>
                </c:pt>
                <c:pt idx="29">
                  <c:v>-0.1081823302555497</c:v>
                </c:pt>
                <c:pt idx="30">
                  <c:v>3.0152999629183396E-2</c:v>
                </c:pt>
                <c:pt idx="31">
                  <c:v>4.8422306859767374E-2</c:v>
                </c:pt>
                <c:pt idx="32">
                  <c:v>-3.2077263026922154E-2</c:v>
                </c:pt>
                <c:pt idx="33">
                  <c:v>4.9210065761548655E-2</c:v>
                </c:pt>
                <c:pt idx="34">
                  <c:v>1.2290235273637784E-2</c:v>
                </c:pt>
                <c:pt idx="35">
                  <c:v>8.9381675563392923E-2</c:v>
                </c:pt>
              </c:numCache>
            </c:numRef>
          </c:xVal>
          <c:yVal>
            <c:numRef>
              <c:f>Calculations!$E$214:$E$249</c:f>
              <c:numCache>
                <c:formatCode>General</c:formatCode>
                <c:ptCount val="36"/>
                <c:pt idx="0">
                  <c:v>0.14420803782505898</c:v>
                </c:pt>
                <c:pt idx="1">
                  <c:v>-8.5977072780590857E-3</c:v>
                </c:pt>
                <c:pt idx="2">
                  <c:v>-5.4588235294117715E-2</c:v>
                </c:pt>
                <c:pt idx="3">
                  <c:v>3.6478702979449551E-2</c:v>
                </c:pt>
                <c:pt idx="4">
                  <c:v>5.2483534577387525E-2</c:v>
                </c:pt>
                <c:pt idx="5">
                  <c:v>-2.9528713903917647E-2</c:v>
                </c:pt>
                <c:pt idx="6">
                  <c:v>-7.9056958624395324E-2</c:v>
                </c:pt>
                <c:pt idx="7">
                  <c:v>5.5211144336663853E-2</c:v>
                </c:pt>
                <c:pt idx="8">
                  <c:v>8.7779928117224237E-2</c:v>
                </c:pt>
                <c:pt idx="9">
                  <c:v>3.6535773287584172E-2</c:v>
                </c:pt>
                <c:pt idx="10">
                  <c:v>-2.8627475019922688E-2</c:v>
                </c:pt>
                <c:pt idx="11">
                  <c:v>3.7170263788968816E-2</c:v>
                </c:pt>
                <c:pt idx="12">
                  <c:v>-9.8570124733800002E-3</c:v>
                </c:pt>
                <c:pt idx="13">
                  <c:v>4.0066367602777708E-2</c:v>
                </c:pt>
                <c:pt idx="14">
                  <c:v>-2.6646971935007313E-2</c:v>
                </c:pt>
                <c:pt idx="15">
                  <c:v>4.5283476994051108E-2</c:v>
                </c:pt>
                <c:pt idx="16">
                  <c:v>5.4006968641115982E-3</c:v>
                </c:pt>
                <c:pt idx="17">
                  <c:v>-6.7174955235949851E-2</c:v>
                </c:pt>
                <c:pt idx="18">
                  <c:v>8.544891640866803E-3</c:v>
                </c:pt>
                <c:pt idx="19">
                  <c:v>-4.2669449901768131E-2</c:v>
                </c:pt>
                <c:pt idx="20">
                  <c:v>9.7094850253318654E-2</c:v>
                </c:pt>
                <c:pt idx="21">
                  <c:v>7.1315835622844936E-3</c:v>
                </c:pt>
                <c:pt idx="22">
                  <c:v>-4.4808172267688184E-2</c:v>
                </c:pt>
                <c:pt idx="23">
                  <c:v>7.6927751108950559E-2</c:v>
                </c:pt>
                <c:pt idx="24">
                  <c:v>1.8224905490041188E-2</c:v>
                </c:pt>
                <c:pt idx="25">
                  <c:v>-5.1534966197496201E-3</c:v>
                </c:pt>
                <c:pt idx="26">
                  <c:v>-1.1251601403665212E-2</c:v>
                </c:pt>
                <c:pt idx="27">
                  <c:v>-1.6844121457945893E-2</c:v>
                </c:pt>
                <c:pt idx="28">
                  <c:v>-7.552143020857216E-2</c:v>
                </c:pt>
                <c:pt idx="29">
                  <c:v>1.2520143795710981E-2</c:v>
                </c:pt>
                <c:pt idx="30">
                  <c:v>6.4948579823702168E-2</c:v>
                </c:pt>
                <c:pt idx="31">
                  <c:v>2.3164913490831829E-2</c:v>
                </c:pt>
                <c:pt idx="32">
                  <c:v>-7.5842696629213613E-3</c:v>
                </c:pt>
                <c:pt idx="33">
                  <c:v>-7.4893857911123796E-2</c:v>
                </c:pt>
                <c:pt idx="34">
                  <c:v>-6.2171092889487189E-2</c:v>
                </c:pt>
                <c:pt idx="35">
                  <c:v>1.1353255904998028E-2</c:v>
                </c:pt>
              </c:numCache>
            </c:numRef>
          </c:yVal>
          <c:smooth val="0"/>
          <c:extLst>
            <c:ext xmlns:c16="http://schemas.microsoft.com/office/drawing/2014/chart" uri="{C3380CC4-5D6E-409C-BE32-E72D297353CC}">
              <c16:uniqueId val="{00000001-5E97-4193-A06A-6031D9F9DAEA}"/>
            </c:ext>
          </c:extLst>
        </c:ser>
        <c:dLbls>
          <c:showLegendKey val="0"/>
          <c:showVal val="0"/>
          <c:showCatName val="0"/>
          <c:showSerName val="0"/>
          <c:showPercent val="0"/>
          <c:showBubbleSize val="0"/>
        </c:dLbls>
        <c:axId val="1430222559"/>
        <c:axId val="1430222079"/>
      </c:scatterChart>
      <c:valAx>
        <c:axId val="1430222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kern="1200" baseline="0">
                    <a:solidFill>
                      <a:sysClr val="windowText" lastClr="000000">
                        <a:lumMod val="65000"/>
                        <a:lumOff val="35000"/>
                      </a:sysClr>
                    </a:solidFill>
                  </a:rPr>
                  <a:t>Tangent Portfolio Returns</a:t>
                </a:r>
              </a:p>
            </c:rich>
          </c:tx>
          <c:layout>
            <c:manualLayout>
              <c:xMode val="edge"/>
              <c:yMode val="edge"/>
              <c:x val="0.27238866295433856"/>
              <c:y val="0.91330933633295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079"/>
        <c:crosses val="autoZero"/>
        <c:crossBetween val="midCat"/>
      </c:valAx>
      <c:valAx>
        <c:axId val="143022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JNJ Returns</a:t>
                </a:r>
              </a:p>
            </c:rich>
          </c:tx>
          <c:layout>
            <c:manualLayout>
              <c:xMode val="edge"/>
              <c:yMode val="edge"/>
              <c:x val="2.8196685708680402E-2"/>
              <c:y val="0.312868766404199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559"/>
        <c:crosses val="autoZero"/>
        <c:crossBetween val="midCat"/>
      </c:valAx>
      <c:spPr>
        <a:noFill/>
        <a:ln>
          <a:noFill/>
        </a:ln>
        <a:effectLst/>
      </c:spPr>
    </c:plotArea>
    <c:legend>
      <c:legendPos val="r"/>
      <c:layout>
        <c:manualLayout>
          <c:xMode val="edge"/>
          <c:yMode val="edge"/>
          <c:x val="0.77695393981533889"/>
          <c:y val="0.41244596080062884"/>
          <c:w val="0.19994320294940413"/>
          <c:h val="0.27048293963254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 vs VEA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367647441720961E-2"/>
          <c:y val="0.15811915430957277"/>
          <c:w val="0.68299735219021562"/>
          <c:h val="0.70731305673353562"/>
        </c:manualLayout>
      </c:layout>
      <c:scatterChart>
        <c:scatterStyle val="lineMarker"/>
        <c:varyColors val="0"/>
        <c:ser>
          <c:idx val="0"/>
          <c:order val="0"/>
          <c:tx>
            <c:v>TP vs VEA</c:v>
          </c:tx>
          <c:spPr>
            <a:ln w="25400" cap="rnd">
              <a:noFill/>
              <a:round/>
            </a:ln>
            <a:effectLst/>
          </c:spPr>
          <c:marker>
            <c:symbol val="circle"/>
            <c:size val="6"/>
            <c:spPr>
              <a:solidFill>
                <a:srgbClr val="92D050"/>
              </a:solidFill>
              <a:ln w="9525">
                <a:solidFill>
                  <a:schemeClr val="accent3">
                    <a:lumMod val="75000"/>
                  </a:schemeClr>
                </a:solidFill>
              </a:ln>
              <a:effectLst/>
            </c:spPr>
          </c:marker>
          <c:trendline>
            <c:name>Regression Line</c:name>
            <c:spPr>
              <a:ln w="19050" cap="rnd">
                <a:solidFill>
                  <a:schemeClr val="tx1"/>
                </a:solidFill>
                <a:prstDash val="sysDot"/>
              </a:ln>
              <a:effectLst/>
            </c:spPr>
            <c:trendlineType val="linear"/>
            <c:dispRSqr val="0"/>
            <c:dispEq val="1"/>
            <c:trendlineLbl>
              <c:layout>
                <c:manualLayout>
                  <c:x val="-0.44786711619030534"/>
                  <c:y val="-0.228915731124658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Calculations!$C$214:$C$249</c:f>
              <c:numCache>
                <c:formatCode>General</c:formatCode>
                <c:ptCount val="36"/>
                <c:pt idx="0">
                  <c:v>0.13241050642788854</c:v>
                </c:pt>
                <c:pt idx="1">
                  <c:v>6.7921319747848555E-2</c:v>
                </c:pt>
                <c:pt idx="2">
                  <c:v>0.10176148461324225</c:v>
                </c:pt>
                <c:pt idx="3">
                  <c:v>-3.2484638391783789E-2</c:v>
                </c:pt>
                <c:pt idx="4">
                  <c:v>6.778837596316184E-2</c:v>
                </c:pt>
                <c:pt idx="5">
                  <c:v>-5.7201433354378189E-2</c:v>
                </c:pt>
                <c:pt idx="6">
                  <c:v>-6.5437154138143466E-2</c:v>
                </c:pt>
                <c:pt idx="7">
                  <c:v>8.3279669678086643E-2</c:v>
                </c:pt>
                <c:pt idx="8">
                  <c:v>2.0909493519127687E-2</c:v>
                </c:pt>
                <c:pt idx="9">
                  <c:v>-1.608616691931487E-2</c:v>
                </c:pt>
                <c:pt idx="10">
                  <c:v>-2.3286005339621423E-2</c:v>
                </c:pt>
                <c:pt idx="11">
                  <c:v>9.7847071532123596E-3</c:v>
                </c:pt>
                <c:pt idx="12">
                  <c:v>0.10450366773830944</c:v>
                </c:pt>
                <c:pt idx="13">
                  <c:v>1.7449285288253551E-2</c:v>
                </c:pt>
                <c:pt idx="14">
                  <c:v>1.6785344308457642E-2</c:v>
                </c:pt>
                <c:pt idx="15">
                  <c:v>5.55128238479113E-2</c:v>
                </c:pt>
                <c:pt idx="16">
                  <c:v>4.5777167830373763E-2</c:v>
                </c:pt>
                <c:pt idx="17">
                  <c:v>8.63748210000128E-3</c:v>
                </c:pt>
                <c:pt idx="18">
                  <c:v>6.9147966461036353E-2</c:v>
                </c:pt>
                <c:pt idx="19">
                  <c:v>-2.2794041810969546E-2</c:v>
                </c:pt>
                <c:pt idx="20">
                  <c:v>3.8855418558385105E-2</c:v>
                </c:pt>
                <c:pt idx="21">
                  <c:v>-7.5796945195368559E-2</c:v>
                </c:pt>
                <c:pt idx="22">
                  <c:v>4.2342850695971671E-2</c:v>
                </c:pt>
                <c:pt idx="23">
                  <c:v>2.2488151418640703E-3</c:v>
                </c:pt>
                <c:pt idx="24">
                  <c:v>2.5729360288410469E-2</c:v>
                </c:pt>
                <c:pt idx="25">
                  <c:v>-9.137095306395478E-3</c:v>
                </c:pt>
                <c:pt idx="26">
                  <c:v>-2.2495890456563486E-2</c:v>
                </c:pt>
                <c:pt idx="27">
                  <c:v>1.3019471384137234E-2</c:v>
                </c:pt>
                <c:pt idx="28">
                  <c:v>1.0935700016282177E-2</c:v>
                </c:pt>
                <c:pt idx="29">
                  <c:v>-0.1081823302555497</c:v>
                </c:pt>
                <c:pt idx="30">
                  <c:v>3.0152999629183396E-2</c:v>
                </c:pt>
                <c:pt idx="31">
                  <c:v>4.8422306859767374E-2</c:v>
                </c:pt>
                <c:pt idx="32">
                  <c:v>-3.2077263026922154E-2</c:v>
                </c:pt>
                <c:pt idx="33">
                  <c:v>4.9210065761548655E-2</c:v>
                </c:pt>
                <c:pt idx="34">
                  <c:v>1.2290235273637784E-2</c:v>
                </c:pt>
                <c:pt idx="35">
                  <c:v>8.9381675563392923E-2</c:v>
                </c:pt>
              </c:numCache>
            </c:numRef>
          </c:xVal>
          <c:yVal>
            <c:numRef>
              <c:f>Calculations!$G$214:$G$249</c:f>
              <c:numCache>
                <c:formatCode>General</c:formatCode>
                <c:ptCount val="36"/>
                <c:pt idx="0">
                  <c:v>0.14172066465644462</c:v>
                </c:pt>
                <c:pt idx="1">
                  <c:v>0.13446841986963354</c:v>
                </c:pt>
                <c:pt idx="2">
                  <c:v>0.10639457130120356</c:v>
                </c:pt>
                <c:pt idx="3">
                  <c:v>-0.1153691185029323</c:v>
                </c:pt>
                <c:pt idx="4">
                  <c:v>4.3471659919028349E-2</c:v>
                </c:pt>
                <c:pt idx="5">
                  <c:v>-4.7625976041515083E-2</c:v>
                </c:pt>
                <c:pt idx="6">
                  <c:v>-0.11539440851453886</c:v>
                </c:pt>
                <c:pt idx="7">
                  <c:v>0.14835069944159796</c:v>
                </c:pt>
                <c:pt idx="8">
                  <c:v>-1.2883497092440299E-2</c:v>
                </c:pt>
                <c:pt idx="9">
                  <c:v>-8.6384642730181316E-2</c:v>
                </c:pt>
                <c:pt idx="10">
                  <c:v>-4.5858810450250198E-2</c:v>
                </c:pt>
                <c:pt idx="11">
                  <c:v>9.0300029129042336E-3</c:v>
                </c:pt>
                <c:pt idx="12">
                  <c:v>0.1636836027713624</c:v>
                </c:pt>
                <c:pt idx="13">
                  <c:v>3.8352766063011634E-2</c:v>
                </c:pt>
                <c:pt idx="14">
                  <c:v>-4.9264143730886834E-2</c:v>
                </c:pt>
                <c:pt idx="15">
                  <c:v>6.7346836206463312E-2</c:v>
                </c:pt>
                <c:pt idx="16">
                  <c:v>3.8847294815651967E-2</c:v>
                </c:pt>
                <c:pt idx="17">
                  <c:v>0.11213851871997083</c:v>
                </c:pt>
                <c:pt idx="18">
                  <c:v>-5.4450603195304814E-2</c:v>
                </c:pt>
                <c:pt idx="19">
                  <c:v>-5.1724137931034364E-2</c:v>
                </c:pt>
                <c:pt idx="20">
                  <c:v>6.8181818181818121E-2</c:v>
                </c:pt>
                <c:pt idx="21">
                  <c:v>-8.9361702127659592E-2</c:v>
                </c:pt>
                <c:pt idx="22">
                  <c:v>0.14018691588785037</c:v>
                </c:pt>
                <c:pt idx="23">
                  <c:v>-3.688524590163933E-2</c:v>
                </c:pt>
                <c:pt idx="24">
                  <c:v>0.19574468085106389</c:v>
                </c:pt>
                <c:pt idx="25">
                  <c:v>1.0676156583629748E-2</c:v>
                </c:pt>
                <c:pt idx="26">
                  <c:v>1.7605633802816989E-2</c:v>
                </c:pt>
                <c:pt idx="27">
                  <c:v>-7.9584775086505188E-2</c:v>
                </c:pt>
                <c:pt idx="28">
                  <c:v>0.12030075187969924</c:v>
                </c:pt>
                <c:pt idx="29">
                  <c:v>-0.12416107382550334</c:v>
                </c:pt>
                <c:pt idx="30">
                  <c:v>8.4291187739463647E-2</c:v>
                </c:pt>
                <c:pt idx="31">
                  <c:v>-2.4734982332155542E-2</c:v>
                </c:pt>
                <c:pt idx="32">
                  <c:v>-1.0869565217391242E-2</c:v>
                </c:pt>
                <c:pt idx="33">
                  <c:v>6.5934065934065922E-2</c:v>
                </c:pt>
                <c:pt idx="34">
                  <c:v>3.4364261168384758E-2</c:v>
                </c:pt>
                <c:pt idx="35">
                  <c:v>6.6445182724252927E-3</c:v>
                </c:pt>
              </c:numCache>
            </c:numRef>
          </c:yVal>
          <c:smooth val="0"/>
          <c:extLst>
            <c:ext xmlns:c16="http://schemas.microsoft.com/office/drawing/2014/chart" uri="{C3380CC4-5D6E-409C-BE32-E72D297353CC}">
              <c16:uniqueId val="{00000001-5E21-4715-8660-8EFCA5A33F22}"/>
            </c:ext>
          </c:extLst>
        </c:ser>
        <c:dLbls>
          <c:showLegendKey val="0"/>
          <c:showVal val="0"/>
          <c:showCatName val="0"/>
          <c:showSerName val="0"/>
          <c:showPercent val="0"/>
          <c:showBubbleSize val="0"/>
        </c:dLbls>
        <c:axId val="1430222559"/>
        <c:axId val="1430222079"/>
      </c:scatterChart>
      <c:valAx>
        <c:axId val="1430222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kern="1200" baseline="0">
                    <a:solidFill>
                      <a:sysClr val="windowText" lastClr="000000">
                        <a:lumMod val="65000"/>
                        <a:lumOff val="35000"/>
                      </a:sysClr>
                    </a:solidFill>
                  </a:rPr>
                  <a:t>Tangent Portfolio Returns</a:t>
                </a:r>
              </a:p>
            </c:rich>
          </c:tx>
          <c:layout>
            <c:manualLayout>
              <c:xMode val="edge"/>
              <c:yMode val="edge"/>
              <c:x val="0.35757414042999036"/>
              <c:y val="0.903456917371489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079"/>
        <c:crosses val="autoZero"/>
        <c:crossBetween val="midCat"/>
      </c:valAx>
      <c:valAx>
        <c:axId val="1430222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VEA Returns</a:t>
                </a:r>
              </a:p>
            </c:rich>
          </c:tx>
          <c:layout>
            <c:manualLayout>
              <c:xMode val="edge"/>
              <c:yMode val="edge"/>
              <c:x val="2.0392036868428044E-2"/>
              <c:y val="0.353307531923350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2559"/>
        <c:crosses val="autoZero"/>
        <c:crossBetween val="midCat"/>
      </c:valAx>
      <c:spPr>
        <a:noFill/>
        <a:ln>
          <a:noFill/>
        </a:ln>
        <a:effectLst/>
      </c:spPr>
    </c:plotArea>
    <c:legend>
      <c:legendPos val="r"/>
      <c:layout>
        <c:manualLayout>
          <c:xMode val="edge"/>
          <c:yMode val="edge"/>
          <c:x val="0.78000452109429885"/>
          <c:y val="0.45292370296557027"/>
          <c:w val="0.19435307377177397"/>
          <c:h val="0.23634954855283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Risk vs Return Cumulative</a:t>
            </a:r>
            <a:r>
              <a:rPr lang="en-CA" baseline="0"/>
              <a:t> Plot of MSFT, JNJ, GLD and VEA (2020 - 2023)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7.3536974034724423E-2"/>
          <c:y val="9.2908842457555776E-2"/>
          <c:w val="0.7278101118884156"/>
          <c:h val="0.79606319433650996"/>
        </c:manualLayout>
      </c:layout>
      <c:scatterChart>
        <c:scatterStyle val="lineMarker"/>
        <c:varyColors val="0"/>
        <c:ser>
          <c:idx val="1"/>
          <c:order val="0"/>
          <c:tx>
            <c:v>Securities</c:v>
          </c:tx>
          <c:spPr>
            <a:ln w="25400" cap="rnd">
              <a:noFill/>
              <a:round/>
            </a:ln>
            <a:effectLst/>
          </c:spPr>
          <c:marker>
            <c:symbol val="square"/>
            <c:size val="6"/>
            <c:spPr>
              <a:solidFill>
                <a:srgbClr val="FF7C80"/>
              </a:solidFill>
              <a:ln w="12700">
                <a:solidFill>
                  <a:srgbClr val="C00000"/>
                </a:solidFill>
                <a:round/>
              </a:ln>
              <a:effectLst/>
            </c:spPr>
          </c:marker>
          <c:dLbls>
            <c:dLbl>
              <c:idx val="0"/>
              <c:tx>
                <c:rich>
                  <a:bodyPr/>
                  <a:lstStyle/>
                  <a:p>
                    <a:fld id="{88644AE2-8C99-41D1-8F6D-B5916A762853}"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{88644AE2-8C99-41D1-8F6D-B5916A762853}</c15:txfldGUID>
                      <c15:f>Calculations!$D$90</c15:f>
                      <c15:dlblFieldTableCache>
                        <c:ptCount val="1"/>
                        <c:pt idx="0">
                          <c:v>MSFT</c:v>
                        </c:pt>
                      </c15:dlblFieldTableCache>
                    </c15:dlblFTEntry>
                  </c15:dlblFieldTable>
                  <c15:showDataLabelsRange val="0"/>
                </c:ext>
                <c:ext xmlns:c16="http://schemas.microsoft.com/office/drawing/2014/chart" uri="{C3380CC4-5D6E-409C-BE32-E72D297353CC}">
                  <c16:uniqueId val="{00000001-B8F3-477B-AB4F-604DBB9EDE23}"/>
                </c:ext>
              </c:extLst>
            </c:dLbl>
            <c:dLbl>
              <c:idx val="1"/>
              <c:tx>
                <c:rich>
                  <a:bodyPr/>
                  <a:lstStyle/>
                  <a:p>
                    <a:fld id="{C3585FB9-62AD-449B-91DA-FB55FFB67EC0}"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{C3585FB9-62AD-449B-91DA-FB55FFB67EC0}</c15:txfldGUID>
                      <c15:f>Calculations!$E$90</c15:f>
                      <c15:dlblFieldTableCache>
                        <c:ptCount val="1"/>
                        <c:pt idx="0">
                          <c:v>JNJ</c:v>
                        </c:pt>
                      </c15:dlblFieldTableCache>
                    </c15:dlblFTEntry>
                  </c15:dlblFieldTable>
                  <c15:showDataLabelsRange val="0"/>
                </c:ext>
                <c:ext xmlns:c16="http://schemas.microsoft.com/office/drawing/2014/chart" uri="{C3380CC4-5D6E-409C-BE32-E72D297353CC}">
                  <c16:uniqueId val="{00000002-B8F3-477B-AB4F-604DBB9EDE23}"/>
                </c:ext>
              </c:extLst>
            </c:dLbl>
            <c:dLbl>
              <c:idx val="2"/>
              <c:tx>
                <c:rich>
                  <a:bodyPr/>
                  <a:lstStyle/>
                  <a:p>
                    <a:fld id="{5B672221-DB71-42CB-8B4E-A2A8F0BB2311}"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{5B672221-DB71-42CB-8B4E-A2A8F0BB2311}</c15:txfldGUID>
                      <c15:f>Calculations!$F$90</c15:f>
                      <c15:dlblFieldTableCache>
                        <c:ptCount val="1"/>
                        <c:pt idx="0">
                          <c:v>GLD</c:v>
                        </c:pt>
                      </c15:dlblFieldTableCache>
                    </c15:dlblFTEntry>
                  </c15:dlblFieldTable>
                  <c15:showDataLabelsRange val="0"/>
                </c:ext>
                <c:ext xmlns:c16="http://schemas.microsoft.com/office/drawing/2014/chart" uri="{C3380CC4-5D6E-409C-BE32-E72D297353CC}">
                  <c16:uniqueId val="{00000003-B8F3-477B-AB4F-604DBB9EDE23}"/>
                </c:ext>
              </c:extLst>
            </c:dLbl>
            <c:dLbl>
              <c:idx val="3"/>
              <c:tx>
                <c:rich>
                  <a:bodyPr/>
                  <a:lstStyle/>
                  <a:p>
                    <a:fld id="{DEE92CB6-E274-45B8-B5D0-EE6B6BDAA9CD}"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{DEE92CB6-E274-45B8-B5D0-EE6B6BDAA9CD}</c15:txfldGUID>
                      <c15:f>Calculations!$G$90</c15:f>
                      <c15:dlblFieldTableCache>
                        <c:ptCount val="1"/>
                        <c:pt idx="0">
                          <c:v>VEA</c:v>
                        </c:pt>
                      </c15:dlblFieldTableCache>
                    </c15:dlblFTEntry>
                  </c15:dlblFieldTable>
                  <c15:showDataLabelsRange val="0"/>
                </c:ext>
                <c:ext xmlns:c16="http://schemas.microsoft.com/office/drawing/2014/chart" uri="{C3380CC4-5D6E-409C-BE32-E72D297353CC}">
                  <c16:uniqueId val="{00000004-B8F3-477B-AB4F-604DBB9EDE2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Calculations!$D$130:$G$130</c:f>
              <c:numCache>
                <c:formatCode>0.0000000%</c:formatCode>
                <c:ptCount val="4"/>
                <c:pt idx="0">
                  <c:v>0.24893987968399214</c:v>
                </c:pt>
                <c:pt idx="1">
                  <c:v>0.18274406022511422</c:v>
                </c:pt>
                <c:pt idx="2">
                  <c:v>0.16116013573881702</c:v>
                </c:pt>
                <c:pt idx="3">
                  <c:v>0.30489612527867116</c:v>
                </c:pt>
              </c:numCache>
            </c:numRef>
          </c:xVal>
          <c:yVal>
            <c:numRef>
              <c:f>Calculations!$D$129:$G$129</c:f>
              <c:numCache>
                <c:formatCode>0.0000000%</c:formatCode>
                <c:ptCount val="4"/>
                <c:pt idx="0">
                  <c:v>0.23216673980849706</c:v>
                </c:pt>
                <c:pt idx="1">
                  <c:v>7.1851093118770359E-2</c:v>
                </c:pt>
                <c:pt idx="2">
                  <c:v>8.3668827668403889E-2</c:v>
                </c:pt>
                <c:pt idx="3">
                  <c:v>0.26772744809951732</c:v>
                </c:pt>
              </c:numCache>
            </c:numRef>
          </c:yVal>
          <c:smooth val="0"/>
          <c:extLst>
            <c:ext xmlns:c16="http://schemas.microsoft.com/office/drawing/2014/chart" uri="{C3380CC4-5D6E-409C-BE32-E72D297353CC}">
              <c16:uniqueId val="{00000005-B8F3-477B-AB4F-604DBB9EDE23}"/>
            </c:ext>
          </c:extLst>
        </c:ser>
        <c:ser>
          <c:idx val="2"/>
          <c:order val="1"/>
          <c:tx>
            <c:v>Tangent Portfolio</c:v>
          </c:tx>
          <c:spPr>
            <a:ln w="25400" cap="rnd">
              <a:noFill/>
              <a:round/>
            </a:ln>
            <a:effectLst/>
          </c:spPr>
          <c:marker>
            <c:symbol val="diamond"/>
            <c:size val="13"/>
            <c:spPr>
              <a:solidFill>
                <a:srgbClr val="FFC000"/>
              </a:solidFill>
              <a:ln w="9525">
                <a:solidFill>
                  <a:srgbClr val="FC8B24"/>
                </a:solidFill>
              </a:ln>
              <a:effectLst/>
            </c:spPr>
          </c:marker>
          <c:xVal>
            <c:numRef>
              <c:f>Calculations!$H$205</c:f>
              <c:numCache>
                <c:formatCode>0.0000000%</c:formatCode>
                <c:ptCount val="1"/>
                <c:pt idx="0">
                  <c:v>0.18478759149338561</c:v>
                </c:pt>
              </c:numCache>
            </c:numRef>
          </c:xVal>
          <c:yVal>
            <c:numRef>
              <c:f>Calculations!$H$204</c:f>
              <c:numCache>
                <c:formatCode>0.0000000%</c:formatCode>
                <c:ptCount val="1"/>
                <c:pt idx="0">
                  <c:v>0.23309307655149375</c:v>
                </c:pt>
              </c:numCache>
            </c:numRef>
          </c:yVal>
          <c:smooth val="0"/>
          <c:extLst>
            <c:ext xmlns:c16="http://schemas.microsoft.com/office/drawing/2014/chart" uri="{C3380CC4-5D6E-409C-BE32-E72D297353CC}">
              <c16:uniqueId val="{00000007-B8F3-477B-AB4F-604DBB9EDE23}"/>
            </c:ext>
          </c:extLst>
        </c:ser>
        <c:ser>
          <c:idx val="4"/>
          <c:order val="2"/>
          <c:tx>
            <c:v>Risk Free Rate (Rf)</c:v>
          </c:tx>
          <c:spPr>
            <a:ln w="25400" cap="rnd">
              <a:noFill/>
              <a:round/>
            </a:ln>
            <a:effectLst/>
          </c:spPr>
          <c:marker>
            <c:symbol val="circle"/>
            <c:size val="5"/>
            <c:spPr>
              <a:solidFill>
                <a:schemeClr val="accent4">
                  <a:lumMod val="60000"/>
                  <a:lumOff val="40000"/>
                </a:schemeClr>
              </a:solidFill>
              <a:ln w="9525">
                <a:solidFill>
                  <a:srgbClr val="0B7EFD"/>
                </a:solidFill>
              </a:ln>
              <a:effectLst/>
            </c:spPr>
          </c:marker>
          <c:xVal>
            <c:numLit>
              <c:formatCode>General</c:formatCode>
              <c:ptCount val="1"/>
              <c:pt idx="0">
                <c:v>0</c:v>
              </c:pt>
            </c:numLit>
          </c:xVal>
          <c:yVal>
            <c:numLit>
              <c:formatCode>General</c:formatCode>
              <c:ptCount val="1"/>
              <c:pt idx="0">
                <c:v>0.01</c:v>
              </c:pt>
            </c:numLit>
          </c:yVal>
          <c:smooth val="0"/>
          <c:extLst>
            <c:ext xmlns:c16="http://schemas.microsoft.com/office/drawing/2014/chart" uri="{C3380CC4-5D6E-409C-BE32-E72D297353CC}">
              <c16:uniqueId val="{0000000C-B8F3-477B-AB4F-604DBB9EDE23}"/>
            </c:ext>
          </c:extLst>
        </c:ser>
        <c:ser>
          <c:idx val="5"/>
          <c:order val="3"/>
          <c:tx>
            <c:v>CML Security Projections</c:v>
          </c:tx>
          <c:spPr>
            <a:ln w="25400" cap="rnd">
              <a:noFill/>
              <a:round/>
            </a:ln>
            <a:effectLst/>
          </c:spPr>
          <c:marker>
            <c:symbol val="triangle"/>
            <c:size val="7"/>
            <c:spPr>
              <a:solidFill>
                <a:schemeClr val="accent5">
                  <a:lumMod val="40000"/>
                  <a:lumOff val="60000"/>
                </a:schemeClr>
              </a:solidFill>
              <a:ln w="9525">
                <a:solidFill>
                  <a:srgbClr val="7030A0"/>
                </a:solidFill>
              </a:ln>
              <a:effectLst/>
            </c:spPr>
          </c:marker>
          <c:xVal>
            <c:numRef>
              <c:f>Calculations!$D$307:$G$307</c:f>
              <c:numCache>
                <c:formatCode>General</c:formatCode>
                <c:ptCount val="4"/>
                <c:pt idx="0">
                  <c:v>0.18402012635996823</c:v>
                </c:pt>
                <c:pt idx="1">
                  <c:v>5.1231048522395156E-2</c:v>
                </c:pt>
                <c:pt idx="2">
                  <c:v>6.1019713783234737E-2</c:v>
                </c:pt>
                <c:pt idx="3">
                  <c:v>0.21347541842384588</c:v>
                </c:pt>
              </c:numCache>
            </c:numRef>
          </c:xVal>
          <c:yVal>
            <c:numRef>
              <c:f>Calculations!$D$306:$G$306</c:f>
              <c:numCache>
                <c:formatCode>General</c:formatCode>
                <c:ptCount val="4"/>
                <c:pt idx="0">
                  <c:v>0.23216651997712431</c:v>
                </c:pt>
                <c:pt idx="1">
                  <c:v>7.1850972445999431E-2</c:v>
                </c:pt>
                <c:pt idx="2">
                  <c:v>8.3668775961510913E-2</c:v>
                </c:pt>
                <c:pt idx="3">
                  <c:v>0.26772773744928602</c:v>
                </c:pt>
              </c:numCache>
            </c:numRef>
          </c:yVal>
          <c:smooth val="0"/>
          <c:extLst>
            <c:ext xmlns:c16="http://schemas.microsoft.com/office/drawing/2014/chart" uri="{C3380CC4-5D6E-409C-BE32-E72D297353CC}">
              <c16:uniqueId val="{0000000D-B8F3-477B-AB4F-604DBB9EDE23}"/>
            </c:ext>
          </c:extLst>
        </c:ser>
        <c:ser>
          <c:idx val="0"/>
          <c:order val="4"/>
          <c:tx>
            <c:v>Blended Portfolios</c:v>
          </c:tx>
          <c:spPr>
            <a:ln w="25400" cap="rnd">
              <a:noFill/>
              <a:round/>
            </a:ln>
            <a:effectLst/>
          </c:spPr>
          <c:marker>
            <c:symbol val="circle"/>
            <c:size val="5"/>
            <c:spPr>
              <a:solidFill>
                <a:schemeClr val="accent6">
                  <a:lumMod val="60000"/>
                  <a:lumOff val="40000"/>
                </a:schemeClr>
              </a:solidFill>
              <a:ln w="9525">
                <a:solidFill>
                  <a:srgbClr val="00B050"/>
                </a:solidFill>
              </a:ln>
              <a:effectLst/>
            </c:spPr>
          </c:marker>
          <c:xVal>
            <c:numRef>
              <c:f>Calculations!$H$130:$BE$130</c:f>
              <c:numCache>
                <c:formatCode>0.0000000%</c:formatCode>
                <c:ptCount val="50"/>
                <c:pt idx="0">
                  <c:v>0.13988995113155941</c:v>
                </c:pt>
                <c:pt idx="1">
                  <c:v>0.13779139289880254</c:v>
                </c:pt>
                <c:pt idx="2">
                  <c:v>0.13941139761004859</c:v>
                </c:pt>
                <c:pt idx="3">
                  <c:v>0.14908141973935271</c:v>
                </c:pt>
                <c:pt idx="4">
                  <c:v>0.16579906396947144</c:v>
                </c:pt>
                <c:pt idx="5">
                  <c:v>0.17370600252123414</c:v>
                </c:pt>
                <c:pt idx="6">
                  <c:v>0.15518939787841549</c:v>
                </c:pt>
                <c:pt idx="7">
                  <c:v>0.13251087816624915</c:v>
                </c:pt>
                <c:pt idx="8">
                  <c:v>0.15348484466089668</c:v>
                </c:pt>
                <c:pt idx="9">
                  <c:v>0.13299894416201724</c:v>
                </c:pt>
                <c:pt idx="10">
                  <c:v>0.164253016769355</c:v>
                </c:pt>
                <c:pt idx="11">
                  <c:v>0.20509115708313974</c:v>
                </c:pt>
                <c:pt idx="12">
                  <c:v>0.13881192267723913</c:v>
                </c:pt>
                <c:pt idx="13">
                  <c:v>0.18057325783505571</c:v>
                </c:pt>
                <c:pt idx="14">
                  <c:v>0.15173610382054867</c:v>
                </c:pt>
                <c:pt idx="15">
                  <c:v>0.14058990650814923</c:v>
                </c:pt>
                <c:pt idx="16">
                  <c:v>0.13551940168015822</c:v>
                </c:pt>
                <c:pt idx="17">
                  <c:v>0.13760050610394972</c:v>
                </c:pt>
                <c:pt idx="18">
                  <c:v>0.17113529636816788</c:v>
                </c:pt>
                <c:pt idx="19">
                  <c:v>0.18679390862197201</c:v>
                </c:pt>
                <c:pt idx="20">
                  <c:v>0.17374837985317562</c:v>
                </c:pt>
                <c:pt idx="21">
                  <c:v>0.14394891184220338</c:v>
                </c:pt>
                <c:pt idx="22">
                  <c:v>0.20647210357394427</c:v>
                </c:pt>
                <c:pt idx="23">
                  <c:v>0.15742657570771224</c:v>
                </c:pt>
                <c:pt idx="24">
                  <c:v>0.14523113315920375</c:v>
                </c:pt>
                <c:pt idx="25">
                  <c:v>0.17952907861808459</c:v>
                </c:pt>
                <c:pt idx="26">
                  <c:v>0.16655309157703815</c:v>
                </c:pt>
                <c:pt idx="27">
                  <c:v>0.19057918511902461</c:v>
                </c:pt>
                <c:pt idx="28">
                  <c:v>0.13312046924034238</c:v>
                </c:pt>
                <c:pt idx="29">
                  <c:v>0.16450126841383567</c:v>
                </c:pt>
                <c:pt idx="30">
                  <c:v>0.19324508318888642</c:v>
                </c:pt>
                <c:pt idx="31">
                  <c:v>0.15017162832655981</c:v>
                </c:pt>
                <c:pt idx="32">
                  <c:v>0.160758294230473</c:v>
                </c:pt>
                <c:pt idx="33">
                  <c:v>0.17437955515319162</c:v>
                </c:pt>
                <c:pt idx="34">
                  <c:v>0.13665849466499377</c:v>
                </c:pt>
                <c:pt idx="35">
                  <c:v>0.15745197204649009</c:v>
                </c:pt>
                <c:pt idx="36">
                  <c:v>0.14482145242018532</c:v>
                </c:pt>
                <c:pt idx="37">
                  <c:v>0.18214249792952195</c:v>
                </c:pt>
                <c:pt idx="38">
                  <c:v>0.14922138234452692</c:v>
                </c:pt>
                <c:pt idx="39">
                  <c:v>0.15036266677817434</c:v>
                </c:pt>
                <c:pt idx="40">
                  <c:v>0.1548826677483616</c:v>
                </c:pt>
                <c:pt idx="41">
                  <c:v>0.14778964466238068</c:v>
                </c:pt>
                <c:pt idx="42">
                  <c:v>0.17977426546648675</c:v>
                </c:pt>
                <c:pt idx="43">
                  <c:v>0.15191660752512379</c:v>
                </c:pt>
                <c:pt idx="44">
                  <c:v>0.1691587490271558</c:v>
                </c:pt>
                <c:pt idx="45">
                  <c:v>0.1852613877552835</c:v>
                </c:pt>
                <c:pt idx="46">
                  <c:v>0.13496396927560439</c:v>
                </c:pt>
                <c:pt idx="47">
                  <c:v>0.1941534807069358</c:v>
                </c:pt>
                <c:pt idx="48">
                  <c:v>0.1409842584111014</c:v>
                </c:pt>
                <c:pt idx="49">
                  <c:v>0.15910324350529825</c:v>
                </c:pt>
              </c:numCache>
            </c:numRef>
          </c:xVal>
          <c:yVal>
            <c:numRef>
              <c:f>Calculations!$H$129:$BE$129</c:f>
              <c:numCache>
                <c:formatCode>0.0000000%</c:formatCode>
                <c:ptCount val="50"/>
                <c:pt idx="0">
                  <c:v>0.16385352717379717</c:v>
                </c:pt>
                <c:pt idx="1">
                  <c:v>0.14411843033868499</c:v>
                </c:pt>
                <c:pt idx="2">
                  <c:v>0.11154252343454016</c:v>
                </c:pt>
                <c:pt idx="3">
                  <c:v>0.1751449251405488</c:v>
                </c:pt>
                <c:pt idx="4">
                  <c:v>0.18439101736863817</c:v>
                </c:pt>
                <c:pt idx="5">
                  <c:v>0.21355198381930712</c:v>
                </c:pt>
                <c:pt idx="6">
                  <c:v>0.18415259052781877</c:v>
                </c:pt>
                <c:pt idx="7">
                  <c:v>0.11513768657314688</c:v>
                </c:pt>
                <c:pt idx="8">
                  <c:v>0.1567506267746194</c:v>
                </c:pt>
                <c:pt idx="9">
                  <c:v>0.12058673706079256</c:v>
                </c:pt>
                <c:pt idx="10">
                  <c:v>0.19909795716788742</c:v>
                </c:pt>
                <c:pt idx="11">
                  <c:v>0.22065251331137953</c:v>
                </c:pt>
                <c:pt idx="12">
                  <c:v>0.14307507491351926</c:v>
                </c:pt>
                <c:pt idx="13">
                  <c:v>0.17399806698187625</c:v>
                </c:pt>
                <c:pt idx="14">
                  <c:v>0.17494349885254928</c:v>
                </c:pt>
                <c:pt idx="15">
                  <c:v>0.11940141764138323</c:v>
                </c:pt>
                <c:pt idx="16">
                  <c:v>0.11823752732797002</c:v>
                </c:pt>
                <c:pt idx="17">
                  <c:v>0.11922930202811385</c:v>
                </c:pt>
                <c:pt idx="18">
                  <c:v>0.19882120880463006</c:v>
                </c:pt>
                <c:pt idx="19">
                  <c:v>0.21813792015259431</c:v>
                </c:pt>
                <c:pt idx="20">
                  <c:v>0.18794994817135099</c:v>
                </c:pt>
                <c:pt idx="21">
                  <c:v>0.15900512904132189</c:v>
                </c:pt>
                <c:pt idx="22">
                  <c:v>0.23493403789274322</c:v>
                </c:pt>
                <c:pt idx="23">
                  <c:v>0.19551457626519442</c:v>
                </c:pt>
                <c:pt idx="24">
                  <c:v>0.14945637992140823</c:v>
                </c:pt>
                <c:pt idx="25">
                  <c:v>0.21309540187264456</c:v>
                </c:pt>
                <c:pt idx="26">
                  <c:v>0.16769694879953762</c:v>
                </c:pt>
                <c:pt idx="27">
                  <c:v>0.20309392424450123</c:v>
                </c:pt>
                <c:pt idx="28">
                  <c:v>0.13917266317141117</c:v>
                </c:pt>
                <c:pt idx="29">
                  <c:v>0.18976596530407575</c:v>
                </c:pt>
                <c:pt idx="30">
                  <c:v>0.19509726273648037</c:v>
                </c:pt>
                <c:pt idx="31">
                  <c:v>0.17517532643869754</c:v>
                </c:pt>
                <c:pt idx="32">
                  <c:v>0.18235852655556797</c:v>
                </c:pt>
                <c:pt idx="33">
                  <c:v>0.19180943819228147</c:v>
                </c:pt>
                <c:pt idx="34">
                  <c:v>0.11797022008104498</c:v>
                </c:pt>
                <c:pt idx="35">
                  <c:v>0.1904533011985472</c:v>
                </c:pt>
                <c:pt idx="36">
                  <c:v>0.12518120109341913</c:v>
                </c:pt>
                <c:pt idx="37">
                  <c:v>0.22884880570841673</c:v>
                </c:pt>
                <c:pt idx="38">
                  <c:v>0.15442914068154404</c:v>
                </c:pt>
                <c:pt idx="39">
                  <c:v>0.15513805814386483</c:v>
                </c:pt>
                <c:pt idx="40">
                  <c:v>0.17623808614328218</c:v>
                </c:pt>
                <c:pt idx="41">
                  <c:v>8.6677209239171354E-2</c:v>
                </c:pt>
                <c:pt idx="42">
                  <c:v>0.18021426167239263</c:v>
                </c:pt>
                <c:pt idx="43">
                  <c:v>0.15076082659340556</c:v>
                </c:pt>
                <c:pt idx="44">
                  <c:v>0.20190570665005547</c:v>
                </c:pt>
                <c:pt idx="45">
                  <c:v>0.21824985173310685</c:v>
                </c:pt>
                <c:pt idx="46">
                  <c:v>9.4943031118087523E-2</c:v>
                </c:pt>
                <c:pt idx="47">
                  <c:v>0.22027383049458177</c:v>
                </c:pt>
                <c:pt idx="48">
                  <c:v>0.12519788652403846</c:v>
                </c:pt>
                <c:pt idx="49">
                  <c:v>0.17924041983981465</c:v>
                </c:pt>
              </c:numCache>
            </c:numRef>
          </c:yVal>
          <c:smooth val="0"/>
          <c:extLst>
            <c:ext xmlns:c16="http://schemas.microsoft.com/office/drawing/2014/chart" uri="{C3380CC4-5D6E-409C-BE32-E72D297353CC}">
              <c16:uniqueId val="{00000000-B8F3-477B-AB4F-604DBB9EDE23}"/>
            </c:ext>
          </c:extLst>
        </c:ser>
        <c:ser>
          <c:idx val="3"/>
          <c:order val="5"/>
          <c:tx>
            <c:v>Capital Market Line</c:v>
          </c:tx>
          <c:spPr>
            <a:ln w="25400" cap="rnd">
              <a:noFill/>
              <a:round/>
            </a:ln>
            <a:effectLst/>
          </c:spPr>
          <c:marker>
            <c:symbol val="circle"/>
            <c:size val="5"/>
            <c:spPr>
              <a:solidFill>
                <a:schemeClr val="accent4">
                  <a:lumMod val="60000"/>
                  <a:lumOff val="40000"/>
                </a:schemeClr>
              </a:solidFill>
              <a:ln w="9525">
                <a:solidFill>
                  <a:srgbClr val="0B7EFD"/>
                </a:solidFill>
              </a:ln>
              <a:effectLst/>
            </c:spPr>
          </c:marker>
          <c:dPt>
            <c:idx val="0"/>
            <c:marker>
              <c:symbol val="circle"/>
              <c:size val="8"/>
              <c:spPr>
                <a:solidFill>
                  <a:schemeClr val="accent4">
                    <a:lumMod val="60000"/>
                    <a:lumOff val="40000"/>
                  </a:schemeClr>
                </a:solidFill>
                <a:ln w="9525">
                  <a:solidFill>
                    <a:srgbClr val="0B7EFD"/>
                  </a:solidFill>
                </a:ln>
                <a:effectLst/>
              </c:spPr>
            </c:marker>
            <c:bubble3D val="0"/>
            <c:extLst>
              <c:ext xmlns:c16="http://schemas.microsoft.com/office/drawing/2014/chart" uri="{C3380CC4-5D6E-409C-BE32-E72D297353CC}">
                <c16:uniqueId val="{00000000-0B9D-4432-8B8A-4A34D0FC41D8}"/>
              </c:ext>
            </c:extLst>
          </c:dPt>
          <c:dPt>
            <c:idx val="1"/>
            <c:marker>
              <c:symbol val="none"/>
            </c:marker>
            <c:bubble3D val="0"/>
            <c:extLst>
              <c:ext xmlns:c16="http://schemas.microsoft.com/office/drawing/2014/chart" uri="{C3380CC4-5D6E-409C-BE32-E72D297353CC}">
                <c16:uniqueId val="{00000008-B8F3-477B-AB4F-604DBB9EDE23}"/>
              </c:ext>
            </c:extLst>
          </c:dPt>
          <c:trendline>
            <c:name>Capital Market Line (CML)</c:name>
            <c:spPr>
              <a:ln w="25400" cap="rnd">
                <a:solidFill>
                  <a:srgbClr val="FC8B24">
                    <a:alpha val="50000"/>
                  </a:srgbClr>
                </a:solidFill>
                <a:prstDash val="sysDot"/>
              </a:ln>
              <a:effectLst/>
            </c:spPr>
            <c:trendlineType val="linear"/>
            <c:forward val="0.13"/>
            <c:dispRSqr val="0"/>
            <c:dispEq val="0"/>
          </c:trendline>
          <c:xVal>
            <c:numRef>
              <c:f>Calculations!$C$182:$D$182</c:f>
              <c:numCache>
                <c:formatCode>0.0000000%</c:formatCode>
                <c:ptCount val="2"/>
                <c:pt idx="0" formatCode="0%">
                  <c:v>0</c:v>
                </c:pt>
                <c:pt idx="1">
                  <c:v>0.18478759149338561</c:v>
                </c:pt>
              </c:numCache>
            </c:numRef>
          </c:xVal>
          <c:yVal>
            <c:numRef>
              <c:f>Calculations!$C$181:$D$181</c:f>
              <c:numCache>
                <c:formatCode>0.0000000%</c:formatCode>
                <c:ptCount val="2"/>
                <c:pt idx="0" formatCode="0%">
                  <c:v>0.01</c:v>
                </c:pt>
                <c:pt idx="1">
                  <c:v>0.23309307655149375</c:v>
                </c:pt>
              </c:numCache>
            </c:numRef>
          </c:yVal>
          <c:smooth val="0"/>
          <c:extLst>
            <c:ext xmlns:c16="http://schemas.microsoft.com/office/drawing/2014/chart" uri="{C3380CC4-5D6E-409C-BE32-E72D297353CC}">
              <c16:uniqueId val="{0000000A-B8F3-477B-AB4F-604DBB9EDE23}"/>
            </c:ext>
          </c:extLst>
        </c:ser>
        <c:dLbls>
          <c:showLegendKey val="0"/>
          <c:showVal val="0"/>
          <c:showCatName val="0"/>
          <c:showSerName val="0"/>
          <c:showPercent val="0"/>
          <c:showBubbleSize val="0"/>
        </c:dLbls>
        <c:axId val="2067701456"/>
        <c:axId val="2067713456"/>
      </c:scatterChart>
      <c:valAx>
        <c:axId val="2067701456"/>
        <c:scaling>
          <c:orientation val="minMax"/>
          <c:max val="0.32000000000000006"/>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Risk (%)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13456"/>
        <c:crosses val="autoZero"/>
        <c:crossBetween val="midCat"/>
      </c:valAx>
      <c:valAx>
        <c:axId val="206771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01456"/>
        <c:crosses val="autoZero"/>
        <c:crossBetween val="midCat"/>
      </c:valAx>
      <c:spPr>
        <a:noFill/>
        <a:ln>
          <a:noFill/>
        </a:ln>
        <a:effectLst/>
      </c:spPr>
    </c:plotArea>
    <c:legend>
      <c:legendPos val="r"/>
      <c:legendEntry>
        <c:idx val="5"/>
        <c:delete val="1"/>
      </c:legendEntry>
      <c:layout>
        <c:manualLayout>
          <c:xMode val="edge"/>
          <c:yMode val="edge"/>
          <c:x val="0.81368962332743766"/>
          <c:y val="0.35562968298688669"/>
          <c:w val="0.1717927581775883"/>
          <c:h val="0.30834112397150254"/>
        </c:manualLayout>
      </c:layout>
      <c:overlay val="0"/>
      <c:spPr>
        <a:noFill/>
        <a:ln cap="rnd">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Security</a:t>
            </a:r>
            <a:r>
              <a:rPr lang="en-CA" baseline="0"/>
              <a:t> Market Line of MSFT, JNJ, GLD, VEA (2020 - 2023)</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scatterChart>
        <c:scatterStyle val="lineMarker"/>
        <c:varyColors val="0"/>
        <c:ser>
          <c:idx val="1"/>
          <c:order val="0"/>
          <c:tx>
            <c:v>Market/Tangent Portfolio</c:v>
          </c:tx>
          <c:spPr>
            <a:ln w="25400" cap="rnd">
              <a:noFill/>
              <a:round/>
            </a:ln>
            <a:effectLst/>
          </c:spPr>
          <c:marker>
            <c:symbol val="diamond"/>
            <c:size val="10"/>
            <c:spPr>
              <a:solidFill>
                <a:srgbClr val="FFC000"/>
              </a:solidFill>
              <a:ln w="9525">
                <a:solidFill>
                  <a:schemeClr val="accent2"/>
                </a:solidFill>
              </a:ln>
              <a:effectLst/>
            </c:spPr>
          </c:marker>
          <c:xVal>
            <c:numRef>
              <c:f>Calculations!$D$348</c:f>
              <c:numCache>
                <c:formatCode>General</c:formatCode>
                <c:ptCount val="1"/>
                <c:pt idx="0">
                  <c:v>1</c:v>
                </c:pt>
              </c:numCache>
            </c:numRef>
          </c:xVal>
          <c:yVal>
            <c:numRef>
              <c:f>Calculations!$E$348</c:f>
              <c:numCache>
                <c:formatCode>0.000000%</c:formatCode>
                <c:ptCount val="1"/>
                <c:pt idx="0">
                  <c:v>0.23309307655149375</c:v>
                </c:pt>
              </c:numCache>
            </c:numRef>
          </c:yVal>
          <c:smooth val="0"/>
          <c:extLst>
            <c:ext xmlns:c16="http://schemas.microsoft.com/office/drawing/2014/chart" uri="{C3380CC4-5D6E-409C-BE32-E72D297353CC}">
              <c16:uniqueId val="{00000001-95CC-40CF-B4EE-685871AD3878}"/>
            </c:ext>
          </c:extLst>
        </c:ser>
        <c:ser>
          <c:idx val="0"/>
          <c:order val="1"/>
          <c:tx>
            <c:v>Securities</c:v>
          </c:tx>
          <c:spPr>
            <a:ln w="25400" cap="rnd">
              <a:noFill/>
              <a:round/>
            </a:ln>
            <a:effectLst/>
          </c:spPr>
          <c:marker>
            <c:symbol val="triangle"/>
            <c:size val="6"/>
            <c:spPr>
              <a:solidFill>
                <a:schemeClr val="accent5">
                  <a:lumMod val="40000"/>
                  <a:lumOff val="60000"/>
                </a:schemeClr>
              </a:solidFill>
              <a:ln w="9525">
                <a:solidFill>
                  <a:srgbClr val="7030A0"/>
                </a:solidFill>
              </a:ln>
              <a:effectLst/>
            </c:spPr>
          </c:marker>
          <c:dPt>
            <c:idx val="0"/>
            <c:marker>
              <c:symbol val="triangle"/>
              <c:size val="5"/>
              <c:spPr>
                <a:solidFill>
                  <a:schemeClr val="accent5">
                    <a:lumMod val="40000"/>
                    <a:lumOff val="60000"/>
                  </a:schemeClr>
                </a:solidFill>
                <a:ln w="9525">
                  <a:solidFill>
                    <a:srgbClr val="7030A0"/>
                  </a:solidFill>
                </a:ln>
                <a:effectLst/>
              </c:spPr>
            </c:marker>
            <c:bubble3D val="0"/>
            <c:extLst>
              <c:ext xmlns:c16="http://schemas.microsoft.com/office/drawing/2014/chart" uri="{C3380CC4-5D6E-409C-BE32-E72D297353CC}">
                <c16:uniqueId val="{00000005-95CC-40CF-B4EE-685871AD3878}"/>
              </c:ext>
            </c:extLst>
          </c:dPt>
          <c:dPt>
            <c:idx val="1"/>
            <c:marker>
              <c:symbol val="triangle"/>
              <c:size val="5"/>
              <c:spPr>
                <a:solidFill>
                  <a:schemeClr val="accent5">
                    <a:lumMod val="40000"/>
                    <a:lumOff val="60000"/>
                  </a:schemeClr>
                </a:solidFill>
                <a:ln w="9525">
                  <a:solidFill>
                    <a:srgbClr val="7030A0"/>
                  </a:solidFill>
                </a:ln>
                <a:effectLst/>
              </c:spPr>
            </c:marker>
            <c:bubble3D val="0"/>
            <c:extLst>
              <c:ext xmlns:c16="http://schemas.microsoft.com/office/drawing/2014/chart" uri="{C3380CC4-5D6E-409C-BE32-E72D297353CC}">
                <c16:uniqueId val="{00000007-95CC-40CF-B4EE-685871AD3878}"/>
              </c:ext>
            </c:extLst>
          </c:dPt>
          <c:dPt>
            <c:idx val="2"/>
            <c:marker>
              <c:symbol val="triangle"/>
              <c:size val="5"/>
              <c:spPr>
                <a:solidFill>
                  <a:schemeClr val="accent5">
                    <a:lumMod val="40000"/>
                    <a:lumOff val="60000"/>
                  </a:schemeClr>
                </a:solidFill>
                <a:ln w="9525">
                  <a:solidFill>
                    <a:srgbClr val="7030A0"/>
                  </a:solidFill>
                </a:ln>
                <a:effectLst/>
              </c:spPr>
            </c:marker>
            <c:bubble3D val="0"/>
            <c:extLst>
              <c:ext xmlns:c16="http://schemas.microsoft.com/office/drawing/2014/chart" uri="{C3380CC4-5D6E-409C-BE32-E72D297353CC}">
                <c16:uniqueId val="{00000008-95CC-40CF-B4EE-685871AD3878}"/>
              </c:ext>
            </c:extLst>
          </c:dPt>
          <c:dPt>
            <c:idx val="3"/>
            <c:marker>
              <c:symbol val="triangle"/>
              <c:size val="5"/>
              <c:spPr>
                <a:solidFill>
                  <a:schemeClr val="accent5">
                    <a:lumMod val="40000"/>
                    <a:lumOff val="60000"/>
                  </a:schemeClr>
                </a:solidFill>
                <a:ln w="9525">
                  <a:solidFill>
                    <a:srgbClr val="7030A0"/>
                  </a:solidFill>
                </a:ln>
                <a:effectLst/>
              </c:spPr>
            </c:marker>
            <c:bubble3D val="0"/>
            <c:extLst>
              <c:ext xmlns:c16="http://schemas.microsoft.com/office/drawing/2014/chart" uri="{C3380CC4-5D6E-409C-BE32-E72D297353CC}">
                <c16:uniqueId val="{00000006-95CC-40CF-B4EE-685871AD3878}"/>
              </c:ext>
            </c:extLst>
          </c:dPt>
          <c:dPt>
            <c:idx val="4"/>
            <c:marker>
              <c:symbol val="none"/>
            </c:marker>
            <c:bubble3D val="0"/>
            <c:extLst>
              <c:ext xmlns:c16="http://schemas.microsoft.com/office/drawing/2014/chart" uri="{C3380CC4-5D6E-409C-BE32-E72D297353CC}">
                <c16:uniqueId val="{00000004-95CC-40CF-B4EE-685871AD3878}"/>
              </c:ext>
            </c:extLst>
          </c:dPt>
          <c:dPt>
            <c:idx val="5"/>
            <c:marker>
              <c:symbol val="none"/>
            </c:marker>
            <c:bubble3D val="0"/>
            <c:extLst>
              <c:ext xmlns:c16="http://schemas.microsoft.com/office/drawing/2014/chart" uri="{C3380CC4-5D6E-409C-BE32-E72D297353CC}">
                <c16:uniqueId val="{00000009-95CC-40CF-B4EE-685871AD3878}"/>
              </c:ext>
            </c:extLst>
          </c:dPt>
          <c:dLbls>
            <c:dLbl>
              <c:idx val="0"/>
              <c:layout>
                <c:manualLayout>
                  <c:x val="-2.5462272678253416E-2"/>
                  <c:y val="2.5799170499111249E-2"/>
                </c:manualLayout>
              </c:layout>
              <c:tx>
                <c:rich>
                  <a:bodyPr/>
                  <a:lstStyle/>
                  <a:p>
                    <a:r>
                      <a:rPr lang="en-US"/>
                      <a:t>MSFT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5CC-40CF-B4EE-685871AD3878}"/>
                </c:ext>
              </c:extLst>
            </c:dLbl>
            <c:dLbl>
              <c:idx val="1"/>
              <c:layout>
                <c:manualLayout>
                  <c:x val="-4.0193180451556631E-3"/>
                  <c:y val="8.5036310058009944E-3"/>
                </c:manualLayout>
              </c:layout>
              <c:tx>
                <c:rich>
                  <a:bodyPr/>
                  <a:lstStyle/>
                  <a:p>
                    <a:fld id="{0B7F8763-4100-4CC3-BA71-C384C8AD8234}"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{0B7F8763-4100-4CC3-BA71-C384C8AD8234}</c15:txfldGUID>
                      <c15:f>Calculations!$C$345</c15:f>
                      <c15:dlblFieldTableCache>
                        <c:ptCount val="1"/>
                        <c:pt idx="0">
                          <c:v>JNJ</c:v>
                        </c:pt>
                      </c15:dlblFieldTableCache>
                    </c15:dlblFTEntry>
                  </c15:dlblFieldTable>
                  <c15:showDataLabelsRange val="0"/>
                </c:ext>
                <c:ext xmlns:c16="http://schemas.microsoft.com/office/drawing/2014/chart" uri="{C3380CC4-5D6E-409C-BE32-E72D297353CC}">
                  <c16:uniqueId val="{00000007-95CC-40CF-B4EE-685871AD3878}"/>
                </c:ext>
              </c:extLst>
            </c:dLbl>
            <c:dLbl>
              <c:idx val="2"/>
              <c:layout>
                <c:manualLayout>
                  <c:x val="-5.3590907268741524E-3"/>
                  <c:y val="5.6690873372005589E-3"/>
                </c:manualLayout>
              </c:layout>
              <c:tx>
                <c:rich>
                  <a:bodyPr/>
                  <a:lstStyle/>
                  <a:p>
                    <a:fld id="{6A2D7D16-99CB-4A91-B0BC-43B9B24021FF}"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{6A2D7D16-99CB-4A91-B0BC-43B9B24021FF}</c15:txfldGUID>
                      <c15:f>Calculations!$C$346</c15:f>
                      <c15:dlblFieldTableCache>
                        <c:ptCount val="1"/>
                        <c:pt idx="0">
                          <c:v>GLD</c:v>
                        </c:pt>
                      </c15:dlblFieldTableCache>
                    </c15:dlblFTEntry>
                  </c15:dlblFieldTable>
                  <c15:showDataLabelsRange val="0"/>
                </c:ext>
                <c:ext xmlns:c16="http://schemas.microsoft.com/office/drawing/2014/chart" uri="{C3380CC4-5D6E-409C-BE32-E72D297353CC}">
                  <c16:uniqueId val="{00000008-95CC-40CF-B4EE-685871AD3878}"/>
                </c:ext>
              </c:extLst>
            </c:dLbl>
            <c:dLbl>
              <c:idx val="3"/>
              <c:layout>
                <c:manualLayout>
                  <c:x val="-6.7033475170691637E-3"/>
                  <c:y val="2.8590474779645954E-3"/>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r>
                      <a:rPr lang="en-US" sz="800" baseline="0"/>
                      <a:t>VEA</a:t>
                    </a:r>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8069891884928911E-2"/>
                      <c:h val="3.4265699734924236E-2"/>
                    </c:manualLayout>
                  </c15:layout>
                  <c15:showDataLabelsRange val="0"/>
                </c:ext>
                <c:ext xmlns:c16="http://schemas.microsoft.com/office/drawing/2014/chart" uri="{C3380CC4-5D6E-409C-BE32-E72D297353CC}">
                  <c16:uniqueId val="{00000006-95CC-40CF-B4EE-685871AD387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Security Market Line (SML)</c:name>
            <c:spPr>
              <a:ln w="19050" cap="rnd">
                <a:solidFill>
                  <a:srgbClr val="FC8B24">
                    <a:alpha val="49000"/>
                  </a:srgbClr>
                </a:solidFill>
                <a:prstDash val="sysDot"/>
              </a:ln>
              <a:effectLst/>
            </c:spPr>
            <c:trendlineType val="linear"/>
            <c:dispRSqr val="0"/>
            <c:dispEq val="1"/>
            <c:trendlineLbl>
              <c:layout>
                <c:manualLayout>
                  <c:x val="-0.37592506898175371"/>
                  <c:y val="0.102645378353859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Calculations!$D$344:$D$349</c:f>
              <c:numCache>
                <c:formatCode>General</c:formatCode>
                <c:ptCount val="6"/>
                <c:pt idx="0">
                  <c:v>0.9958467712728164</c:v>
                </c:pt>
                <c:pt idx="1">
                  <c:v>0.27724290418184788</c:v>
                </c:pt>
                <c:pt idx="2">
                  <c:v>0.33021542891541456</c:v>
                </c:pt>
                <c:pt idx="3">
                  <c:v>1.1552475829064914</c:v>
                </c:pt>
                <c:pt idx="4">
                  <c:v>1</c:v>
                </c:pt>
                <c:pt idx="5">
                  <c:v>0</c:v>
                </c:pt>
              </c:numCache>
            </c:numRef>
          </c:xVal>
          <c:yVal>
            <c:numRef>
              <c:f>Calculations!$E$344:$E$349</c:f>
              <c:numCache>
                <c:formatCode>0.000000%</c:formatCode>
                <c:ptCount val="6"/>
                <c:pt idx="0">
                  <c:v>0.23216673980849706</c:v>
                </c:pt>
                <c:pt idx="1">
                  <c:v>7.1851093118770359E-2</c:v>
                </c:pt>
                <c:pt idx="2">
                  <c:v>8.3668827668403889E-2</c:v>
                </c:pt>
                <c:pt idx="3">
                  <c:v>0.26772744809951732</c:v>
                </c:pt>
                <c:pt idx="4">
                  <c:v>0.23309307655149375</c:v>
                </c:pt>
                <c:pt idx="5" formatCode="0.00%">
                  <c:v>0.01</c:v>
                </c:pt>
              </c:numCache>
            </c:numRef>
          </c:yVal>
          <c:smooth val="0"/>
          <c:extLst>
            <c:ext xmlns:c16="http://schemas.microsoft.com/office/drawing/2014/chart" uri="{C3380CC4-5D6E-409C-BE32-E72D297353CC}">
              <c16:uniqueId val="{00000000-95CC-40CF-B4EE-685871AD3878}"/>
            </c:ext>
          </c:extLst>
        </c:ser>
        <c:ser>
          <c:idx val="2"/>
          <c:order val="2"/>
          <c:tx>
            <c:v>Risk Free Rate</c:v>
          </c:tx>
          <c:spPr>
            <a:ln w="25400" cap="rnd">
              <a:noFill/>
              <a:round/>
            </a:ln>
            <a:effectLst/>
          </c:spPr>
          <c:marker>
            <c:symbol val="circle"/>
            <c:size val="5"/>
            <c:spPr>
              <a:solidFill>
                <a:schemeClr val="accent1">
                  <a:lumMod val="40000"/>
                  <a:lumOff val="60000"/>
                </a:schemeClr>
              </a:solidFill>
              <a:ln w="9525">
                <a:solidFill>
                  <a:srgbClr val="0B7EFD"/>
                </a:solidFill>
              </a:ln>
              <a:effectLst/>
            </c:spPr>
          </c:marker>
          <c:xVal>
            <c:numLit>
              <c:formatCode>General</c:formatCode>
              <c:ptCount val="1"/>
              <c:pt idx="0">
                <c:v>0</c:v>
              </c:pt>
            </c:numLit>
          </c:xVal>
          <c:yVal>
            <c:numLit>
              <c:formatCode>General</c:formatCode>
              <c:ptCount val="1"/>
              <c:pt idx="0">
                <c:v>0.01</c:v>
              </c:pt>
            </c:numLit>
          </c:yVal>
          <c:smooth val="0"/>
          <c:extLst>
            <c:ext xmlns:c16="http://schemas.microsoft.com/office/drawing/2014/chart" uri="{C3380CC4-5D6E-409C-BE32-E72D297353CC}">
              <c16:uniqueId val="{00000003-95CC-40CF-B4EE-685871AD3878}"/>
            </c:ext>
          </c:extLst>
        </c:ser>
        <c:dLbls>
          <c:showLegendKey val="0"/>
          <c:showVal val="0"/>
          <c:showCatName val="0"/>
          <c:showSerName val="0"/>
          <c:showPercent val="0"/>
          <c:showBubbleSize val="0"/>
        </c:dLbls>
        <c:axId val="845382383"/>
        <c:axId val="845382863"/>
      </c:scatterChart>
      <c:valAx>
        <c:axId val="845382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Beta (Risk)</a:t>
                </a:r>
              </a:p>
              <a:p>
                <a:pPr>
                  <a:defRPr/>
                </a:pP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82863"/>
        <c:crosses val="autoZero"/>
        <c:crossBetween val="midCat"/>
      </c:valAx>
      <c:valAx>
        <c:axId val="845382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Return (%)</a:t>
                </a:r>
              </a:p>
              <a:p>
                <a:pPr>
                  <a:defRPr/>
                </a:pP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82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Security Market Line vs Actual Returns (2023</a:t>
            </a:r>
            <a:r>
              <a:rPr lang="en-CA" baseline="0"/>
              <a:t> - 2025)</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scatterChart>
        <c:scatterStyle val="lineMarker"/>
        <c:varyColors val="0"/>
        <c:ser>
          <c:idx val="0"/>
          <c:order val="0"/>
          <c:tx>
            <c:v>Actual Returns</c:v>
          </c:tx>
          <c:spPr>
            <a:ln w="25400" cap="rnd">
              <a:noFill/>
              <a:round/>
            </a:ln>
            <a:effectLst/>
          </c:spPr>
          <c:marker>
            <c:symbol val="square"/>
            <c:size val="6"/>
            <c:spPr>
              <a:solidFill>
                <a:srgbClr val="FFC000"/>
              </a:solidFill>
              <a:ln w="9525">
                <a:solidFill>
                  <a:srgbClr val="FC8B24"/>
                </a:solidFill>
              </a:ln>
              <a:effectLst/>
            </c:spPr>
          </c:marker>
          <c:dLbls>
            <c:dLbl>
              <c:idx val="0"/>
              <c:layout>
                <c:manualLayout>
                  <c:x val="-3.5775129367938356E-2"/>
                  <c:y val="-4.7185934875979017E-2"/>
                </c:manualLayout>
              </c:layout>
              <c:tx>
                <c:rich>
                  <a:bodyPr/>
                  <a:lstStyle/>
                  <a:p>
                    <a:fld id="{04B09BC9-8419-482D-98CB-46AF923C2485}" type="CELLREF">
                      <a:rPr lang="en-US" sz="800" baseline="0"/>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{04B09BC9-8419-482D-98CB-46AF923C2485}</c15:txfldGUID>
                      <c15:f>Calculations!$B$433</c15:f>
                      <c15:dlblFieldTableCache>
                        <c:ptCount val="1"/>
                        <c:pt idx="0">
                          <c:v>MSFT</c:v>
                        </c:pt>
                      </c15:dlblFieldTableCache>
                    </c15:dlblFTEntry>
                  </c15:dlblFieldTable>
                  <c15:showDataLabelsRange val="0"/>
                </c:ext>
                <c:ext xmlns:c16="http://schemas.microsoft.com/office/drawing/2014/chart" uri="{C3380CC4-5D6E-409C-BE32-E72D297353CC}">
                  <c16:uniqueId val="{0000000D-7323-4C21-906F-2C9E109A22A2}"/>
                </c:ext>
              </c:extLst>
            </c:dLbl>
            <c:dLbl>
              <c:idx val="1"/>
              <c:layout>
                <c:manualLayout>
                  <c:x val="-2.9812607806615238E-2"/>
                  <c:y val="-4.0751489211072862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F92673EF-AD99-496D-8DB7-D6F04C180E7B}" type="CELLREF">
                      <a:rPr lang="en-US" sz="800" baseline="0"/>
                      <a:pPr>
                        <a:defRPr sz="800"/>
                      </a:pPr>
                      <a:t>[CELLREF]</a:t>
                    </a:fld>
                    <a:endParaRPr lang="en-CA"/>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CA"/>
                </a:p>
              </c:txPr>
              <c:showLegendKey val="0"/>
              <c:showVal val="1"/>
              <c:showCatName val="0"/>
              <c:showSerName val="0"/>
              <c:showPercent val="0"/>
              <c:showBubbleSize val="0"/>
              <c:extLst>
                <c:ext xmlns:c15="http://schemas.microsoft.com/office/drawing/2012/chart" uri="{CE6537A1-D6FC-4f65-9D91-7224C49458BB}">
                  <c15:layout>
                    <c:manualLayout>
                      <c:w val="3.436399926509183E-2"/>
                      <c:h val="6.4280281075501544E-2"/>
                    </c:manualLayout>
                  </c15:layout>
                  <c15:dlblFieldTable>
                    <c15:dlblFTEntry>
                      <c15:txfldGUID>{F92673EF-AD99-496D-8DB7-D6F04C180E7B}</c15:txfldGUID>
                      <c15:f>Calculations!$B$434</c15:f>
                      <c15:dlblFieldTableCache>
                        <c:ptCount val="1"/>
                        <c:pt idx="0">
                          <c:v>JNJ</c:v>
                        </c:pt>
                      </c15:dlblFieldTableCache>
                    </c15:dlblFTEntry>
                  </c15:dlblFieldTable>
                  <c15:showDataLabelsRange val="0"/>
                </c:ext>
                <c:ext xmlns:c16="http://schemas.microsoft.com/office/drawing/2014/chart" uri="{C3380CC4-5D6E-409C-BE32-E72D297353CC}">
                  <c16:uniqueId val="{0000000B-7323-4C21-906F-2C9E109A22A2}"/>
                </c:ext>
              </c:extLst>
            </c:dLbl>
            <c:dLbl>
              <c:idx val="2"/>
              <c:layout>
                <c:manualLayout>
                  <c:x val="-3.3787622180830604E-2"/>
                  <c:y val="-4.2896304432708199E-2"/>
                </c:manualLayout>
              </c:layout>
              <c:tx>
                <c:rich>
                  <a:bodyPr/>
                  <a:lstStyle/>
                  <a:p>
                    <a:fld id="{65813E1F-CC6B-4DC7-9103-70697BEE0FA2}" type="CELLREF">
                      <a:rPr lang="en-US" sz="800" baseline="0"/>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{65813E1F-CC6B-4DC7-9103-70697BEE0FA2}</c15:txfldGUID>
                      <c15:f>Calculations!$B$435</c15:f>
                      <c15:dlblFieldTableCache>
                        <c:ptCount val="1"/>
                        <c:pt idx="0">
                          <c:v>GLD</c:v>
                        </c:pt>
                      </c15:dlblFieldTableCache>
                    </c15:dlblFTEntry>
                  </c15:dlblFieldTable>
                  <c15:showDataLabelsRange val="0"/>
                </c:ext>
                <c:ext xmlns:c16="http://schemas.microsoft.com/office/drawing/2014/chart" uri="{C3380CC4-5D6E-409C-BE32-E72D297353CC}">
                  <c16:uniqueId val="{0000000C-7323-4C21-906F-2C9E109A22A2}"/>
                </c:ext>
              </c:extLst>
            </c:dLbl>
            <c:dLbl>
              <c:idx val="3"/>
              <c:layout>
                <c:manualLayout>
                  <c:x val="-3.1800114993722921E-2"/>
                  <c:y val="3.8606673989437373E-2"/>
                </c:manualLayout>
              </c:layout>
              <c:tx>
                <c:rich>
                  <a:bodyPr/>
                  <a:lstStyle/>
                  <a:p>
                    <a:fld id="{7BFB0EFB-1C96-444D-A211-A59069CE3309}"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{7BFB0EFB-1C96-444D-A211-A59069CE3309}</c15:txfldGUID>
                      <c15:f>Calculations!$B$436</c15:f>
                      <c15:dlblFieldTableCache>
                        <c:ptCount val="1"/>
                        <c:pt idx="0">
                          <c:v>VEA</c:v>
                        </c:pt>
                      </c15:dlblFieldTableCache>
                    </c15:dlblFTEntry>
                  </c15:dlblFieldTable>
                  <c15:showDataLabelsRange val="0"/>
                </c:ext>
                <c:ext xmlns:c16="http://schemas.microsoft.com/office/drawing/2014/chart" uri="{C3380CC4-5D6E-409C-BE32-E72D297353CC}">
                  <c16:uniqueId val="{0000000E-7323-4C21-906F-2C9E109A22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Calculations!$C$433:$C$436</c:f>
              <c:numCache>
                <c:formatCode>General</c:formatCode>
                <c:ptCount val="4"/>
                <c:pt idx="0">
                  <c:v>0.9958467712728164</c:v>
                </c:pt>
                <c:pt idx="1">
                  <c:v>0.27724290418184788</c:v>
                </c:pt>
                <c:pt idx="2">
                  <c:v>0.33021542891541456</c:v>
                </c:pt>
                <c:pt idx="3">
                  <c:v>1.1552475829064914</c:v>
                </c:pt>
              </c:numCache>
            </c:numRef>
          </c:xVal>
          <c:yVal>
            <c:numRef>
              <c:f>Calculations!$D$433:$D$436</c:f>
              <c:numCache>
                <c:formatCode>0.0000000%</c:formatCode>
                <c:ptCount val="4"/>
                <c:pt idx="0">
                  <c:v>0.1486527376642493</c:v>
                </c:pt>
                <c:pt idx="1">
                  <c:v>4.6442453667006223E-2</c:v>
                </c:pt>
                <c:pt idx="2">
                  <c:v>0.23639630843576226</c:v>
                </c:pt>
                <c:pt idx="3">
                  <c:v>-0.23068085279562422</c:v>
                </c:pt>
              </c:numCache>
            </c:numRef>
          </c:yVal>
          <c:smooth val="0"/>
          <c:extLst>
            <c:ext xmlns:c16="http://schemas.microsoft.com/office/drawing/2014/chart" uri="{C3380CC4-5D6E-409C-BE32-E72D297353CC}">
              <c16:uniqueId val="{00000007-7323-4C21-906F-2C9E109A22A2}"/>
            </c:ext>
          </c:extLst>
        </c:ser>
        <c:ser>
          <c:idx val="1"/>
          <c:order val="1"/>
          <c:tx>
            <c:v>Forecasted Returns</c:v>
          </c:tx>
          <c:spPr>
            <a:ln w="25400" cap="rnd">
              <a:noFill/>
              <a:round/>
            </a:ln>
            <a:effectLst/>
          </c:spPr>
          <c:marker>
            <c:symbol val="circle"/>
            <c:size val="6"/>
            <c:spPr>
              <a:solidFill>
                <a:schemeClr val="accent3">
                  <a:lumMod val="20000"/>
                  <a:lumOff val="80000"/>
                </a:schemeClr>
              </a:solidFill>
              <a:ln w="9525">
                <a:solidFill>
                  <a:srgbClr val="00B050"/>
                </a:solidFill>
              </a:ln>
              <a:effectLst/>
            </c:spPr>
          </c:marker>
          <c:trendline>
            <c:name>SML Line (Forecasted Returns)</c:name>
            <c:spPr>
              <a:ln w="19050" cap="rnd">
                <a:solidFill>
                  <a:srgbClr val="00B050">
                    <a:alpha val="41000"/>
                  </a:srgbClr>
                </a:solidFill>
                <a:prstDash val="sysDot"/>
              </a:ln>
              <a:effectLst/>
            </c:spPr>
            <c:trendlineType val="linear"/>
            <c:dispRSqr val="0"/>
            <c:dispEq val="1"/>
            <c:trendlineLbl>
              <c:layout>
                <c:manualLayout>
                  <c:x val="0.33409174079870074"/>
                  <c:y val="0.1288469756143479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Calculations!$C$433:$C$436</c:f>
              <c:numCache>
                <c:formatCode>General</c:formatCode>
                <c:ptCount val="4"/>
                <c:pt idx="0">
                  <c:v>0.9958467712728164</c:v>
                </c:pt>
                <c:pt idx="1">
                  <c:v>0.27724290418184788</c:v>
                </c:pt>
                <c:pt idx="2">
                  <c:v>0.33021542891541456</c:v>
                </c:pt>
                <c:pt idx="3">
                  <c:v>1.1552475829064914</c:v>
                </c:pt>
              </c:numCache>
            </c:numRef>
          </c:xVal>
          <c:yVal>
            <c:numRef>
              <c:f>Calculations!$E$433:$E$436</c:f>
              <c:numCache>
                <c:formatCode>0.0000000%</c:formatCode>
                <c:ptCount val="4"/>
                <c:pt idx="0">
                  <c:v>5.2368121766193203E-3</c:v>
                </c:pt>
                <c:pt idx="1">
                  <c:v>8.6739325131015548E-3</c:v>
                </c:pt>
                <c:pt idx="2">
                  <c:v>8.4205621231346704E-3</c:v>
                </c:pt>
                <c:pt idx="3">
                  <c:v>4.4743896564959735E-3</c:v>
                </c:pt>
              </c:numCache>
            </c:numRef>
          </c:yVal>
          <c:smooth val="0"/>
          <c:extLst>
            <c:ext xmlns:c16="http://schemas.microsoft.com/office/drawing/2014/chart" uri="{C3380CC4-5D6E-409C-BE32-E72D297353CC}">
              <c16:uniqueId val="{00000008-7323-4C21-906F-2C9E109A22A2}"/>
            </c:ext>
          </c:extLst>
        </c:ser>
        <c:dLbls>
          <c:showLegendKey val="0"/>
          <c:showVal val="0"/>
          <c:showCatName val="0"/>
          <c:showSerName val="0"/>
          <c:showPercent val="0"/>
          <c:showBubbleSize val="0"/>
        </c:dLbls>
        <c:axId val="750584063"/>
        <c:axId val="750597023"/>
      </c:scatterChart>
      <c:valAx>
        <c:axId val="750584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Beta (Risk)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97023"/>
        <c:crosses val="autoZero"/>
        <c:crossBetween val="midCat"/>
      </c:valAx>
      <c:valAx>
        <c:axId val="750597023"/>
        <c:scaling>
          <c:orientation val="minMax"/>
          <c:max val="0.30000000000000004"/>
          <c:min val="-0.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Returns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840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350"/>
              <a:t>Risk vs Return of</a:t>
            </a:r>
            <a:r>
              <a:rPr lang="en-CA" sz="1350" baseline="0"/>
              <a:t> MSFT, JNJ, GLD, VEA (</a:t>
            </a:r>
            <a:r>
              <a:rPr lang="en-CA" sz="1350" b="0" i="0" u="none" strike="noStrike" kern="1200" spc="0" baseline="0">
                <a:solidFill>
                  <a:sysClr val="windowText" lastClr="000000">
                    <a:lumMod val="65000"/>
                    <a:lumOff val="35000"/>
                  </a:sysClr>
                </a:solidFill>
              </a:rPr>
              <a:t>2023 - 2025) with the Old</a:t>
            </a:r>
            <a:r>
              <a:rPr lang="en-CA" sz="1350" baseline="0"/>
              <a:t> Tangent Portfolio and CML </a:t>
            </a:r>
            <a:endParaRPr lang="en-CA" sz="1350"/>
          </a:p>
        </c:rich>
      </c:tx>
      <c:layout>
        <c:manualLayout>
          <c:xMode val="edge"/>
          <c:yMode val="edge"/>
          <c:x val="0.17428485778255065"/>
          <c:y val="1.64817446813479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7.3537012893412593E-2"/>
          <c:y val="8.7813003100978601E-2"/>
          <c:w val="0.66010282326409031"/>
          <c:h val="0.80115907660882268"/>
        </c:manualLayout>
      </c:layout>
      <c:scatterChart>
        <c:scatterStyle val="lineMarker"/>
        <c:varyColors val="0"/>
        <c:ser>
          <c:idx val="0"/>
          <c:order val="0"/>
          <c:tx>
            <c:v>2023-2025 Blended Portfolios</c:v>
          </c:tx>
          <c:spPr>
            <a:ln w="25400" cap="rnd">
              <a:noFill/>
              <a:round/>
            </a:ln>
            <a:effectLst/>
          </c:spPr>
          <c:marker>
            <c:symbol val="circle"/>
            <c:size val="5"/>
            <c:spPr>
              <a:solidFill>
                <a:schemeClr val="accent6">
                  <a:lumMod val="60000"/>
                  <a:lumOff val="40000"/>
                </a:schemeClr>
              </a:solidFill>
              <a:ln w="9525">
                <a:solidFill>
                  <a:srgbClr val="00B050"/>
                </a:solidFill>
              </a:ln>
              <a:effectLst/>
            </c:spPr>
          </c:marker>
          <c:xVal>
            <c:numRef>
              <c:f>Calculations!$H$490:$BE$490</c:f>
              <c:numCache>
                <c:formatCode>0.0000000%</c:formatCode>
                <c:ptCount val="50"/>
                <c:pt idx="0">
                  <c:v>0.10892561068641519</c:v>
                </c:pt>
                <c:pt idx="1">
                  <c:v>0.10801744275525477</c:v>
                </c:pt>
                <c:pt idx="2">
                  <c:v>0.10336500369371442</c:v>
                </c:pt>
                <c:pt idx="3">
                  <c:v>0.1278885089474785</c:v>
                </c:pt>
                <c:pt idx="4">
                  <c:v>0.12184949013827598</c:v>
                </c:pt>
                <c:pt idx="5">
                  <c:v>0.15190883532401095</c:v>
                </c:pt>
                <c:pt idx="6">
                  <c:v>0.13619694563996212</c:v>
                </c:pt>
                <c:pt idx="7">
                  <c:v>0.10046000001983897</c:v>
                </c:pt>
                <c:pt idx="8">
                  <c:v>9.4476631914120951E-2</c:v>
                </c:pt>
                <c:pt idx="9">
                  <c:v>9.0679504334863215E-2</c:v>
                </c:pt>
                <c:pt idx="10">
                  <c:v>0.13479824177249008</c:v>
                </c:pt>
                <c:pt idx="11">
                  <c:v>0.20415917220893542</c:v>
                </c:pt>
                <c:pt idx="12">
                  <c:v>9.4442010365739681E-2</c:v>
                </c:pt>
                <c:pt idx="13">
                  <c:v>0.12059916318261359</c:v>
                </c:pt>
                <c:pt idx="14">
                  <c:v>0.13206760362266617</c:v>
                </c:pt>
                <c:pt idx="15">
                  <c:v>9.1759636041489248E-2</c:v>
                </c:pt>
                <c:pt idx="16">
                  <c:v>9.0970758311767319E-2</c:v>
                </c:pt>
                <c:pt idx="17">
                  <c:v>0.10540187536778751</c:v>
                </c:pt>
                <c:pt idx="18">
                  <c:v>0.12985360199389753</c:v>
                </c:pt>
                <c:pt idx="19">
                  <c:v>0.18359158064016615</c:v>
                </c:pt>
                <c:pt idx="20">
                  <c:v>0.16163024029195011</c:v>
                </c:pt>
                <c:pt idx="21">
                  <c:v>0.119688081821862</c:v>
                </c:pt>
                <c:pt idx="22">
                  <c:v>0.20957425660354623</c:v>
                </c:pt>
                <c:pt idx="23">
                  <c:v>0.13389454278225668</c:v>
                </c:pt>
                <c:pt idx="24">
                  <c:v>0.11859087573213621</c:v>
                </c:pt>
                <c:pt idx="25">
                  <c:v>0.14806626534824077</c:v>
                </c:pt>
                <c:pt idx="26">
                  <c:v>0.10845444236576819</c:v>
                </c:pt>
                <c:pt idx="27">
                  <c:v>0.14069633033769866</c:v>
                </c:pt>
                <c:pt idx="28">
                  <c:v>9.8883590649765263E-2</c:v>
                </c:pt>
                <c:pt idx="29">
                  <c:v>0.12399876217563641</c:v>
                </c:pt>
                <c:pt idx="30">
                  <c:v>0.1357133767216567</c:v>
                </c:pt>
                <c:pt idx="31">
                  <c:v>0.12854857485866983</c:v>
                </c:pt>
                <c:pt idx="32">
                  <c:v>0.14588102370435382</c:v>
                </c:pt>
                <c:pt idx="33">
                  <c:v>0.16249070891432546</c:v>
                </c:pt>
                <c:pt idx="34">
                  <c:v>8.8653433151223787E-2</c:v>
                </c:pt>
                <c:pt idx="35">
                  <c:v>0.14098492398935566</c:v>
                </c:pt>
                <c:pt idx="36">
                  <c:v>9.0017171442968558E-2</c:v>
                </c:pt>
                <c:pt idx="37">
                  <c:v>0.17518629702811228</c:v>
                </c:pt>
                <c:pt idx="38">
                  <c:v>0.12638658370150649</c:v>
                </c:pt>
                <c:pt idx="39">
                  <c:v>0.12512580132023102</c:v>
                </c:pt>
                <c:pt idx="40">
                  <c:v>0.13364873420586273</c:v>
                </c:pt>
                <c:pt idx="41">
                  <c:v>0.11877807691183165</c:v>
                </c:pt>
                <c:pt idx="42">
                  <c:v>0.16366176213595079</c:v>
                </c:pt>
                <c:pt idx="43">
                  <c:v>0.12628633474331358</c:v>
                </c:pt>
                <c:pt idx="44">
                  <c:v>0.13476745533245368</c:v>
                </c:pt>
                <c:pt idx="45">
                  <c:v>0.18258340980795157</c:v>
                </c:pt>
                <c:pt idx="46">
                  <c:v>9.8197095422014644E-2</c:v>
                </c:pt>
                <c:pt idx="47">
                  <c:v>0.19282511907526423</c:v>
                </c:pt>
                <c:pt idx="48">
                  <c:v>0.11168683950052534</c:v>
                </c:pt>
                <c:pt idx="49">
                  <c:v>0.14340145373189769</c:v>
                </c:pt>
              </c:numCache>
            </c:numRef>
          </c:xVal>
          <c:yVal>
            <c:numRef>
              <c:f>Calculations!$H$489:$BE$489</c:f>
              <c:numCache>
                <c:formatCode>0.0000000%</c:formatCode>
                <c:ptCount val="50"/>
                <c:pt idx="0">
                  <c:v>5.020266174284839E-2</c:v>
                </c:pt>
                <c:pt idx="1">
                  <c:v>3.0500854985674807E-2</c:v>
                </c:pt>
                <c:pt idx="2">
                  <c:v>7.6037129184324551E-2</c:v>
                </c:pt>
                <c:pt idx="3">
                  <c:v>4.5026423463281492E-2</c:v>
                </c:pt>
                <c:pt idx="4">
                  <c:v>8.1089833088661342E-2</c:v>
                </c:pt>
                <c:pt idx="5">
                  <c:v>2.2861013830335928E-2</c:v>
                </c:pt>
                <c:pt idx="6">
                  <c:v>-8.9759123627757356E-3</c:v>
                </c:pt>
                <c:pt idx="7">
                  <c:v>9.5882246958771136E-2</c:v>
                </c:pt>
                <c:pt idx="8">
                  <c:v>0.15428959376922363</c:v>
                </c:pt>
                <c:pt idx="9">
                  <c:v>0.10181890695367642</c:v>
                </c:pt>
                <c:pt idx="10">
                  <c:v>4.6136786228515303E-2</c:v>
                </c:pt>
                <c:pt idx="11">
                  <c:v>-8.378026987067648E-2</c:v>
                </c:pt>
                <c:pt idx="12">
                  <c:v>8.8243139614245611E-2</c:v>
                </c:pt>
                <c:pt idx="13">
                  <c:v>0.1267160846050335</c:v>
                </c:pt>
                <c:pt idx="14">
                  <c:v>-3.5661667338169377E-3</c:v>
                </c:pt>
                <c:pt idx="15">
                  <c:v>0.12564062974499141</c:v>
                </c:pt>
                <c:pt idx="16">
                  <c:v>0.15843494371819608</c:v>
                </c:pt>
                <c:pt idx="17">
                  <c:v>4.422531256643044E-2</c:v>
                </c:pt>
                <c:pt idx="18">
                  <c:v>9.1584170960272049E-2</c:v>
                </c:pt>
                <c:pt idx="19">
                  <c:v>-6.5588493645775223E-2</c:v>
                </c:pt>
                <c:pt idx="20">
                  <c:v>-4.6691326585960882E-2</c:v>
                </c:pt>
                <c:pt idx="21">
                  <c:v>5.7059898968034581E-2</c:v>
                </c:pt>
                <c:pt idx="22">
                  <c:v>-9.3031243368777064E-2</c:v>
                </c:pt>
                <c:pt idx="23">
                  <c:v>3.299223778411E-2</c:v>
                </c:pt>
                <c:pt idx="24">
                  <c:v>9.7279233444430097E-2</c:v>
                </c:pt>
                <c:pt idx="25">
                  <c:v>5.5332180666325587E-2</c:v>
                </c:pt>
                <c:pt idx="26">
                  <c:v>0.12636902994233967</c:v>
                </c:pt>
                <c:pt idx="27">
                  <c:v>0.10251925717307357</c:v>
                </c:pt>
                <c:pt idx="28">
                  <c:v>5.8744483458521846E-2</c:v>
                </c:pt>
                <c:pt idx="29">
                  <c:v>7.7199878743142006E-2</c:v>
                </c:pt>
                <c:pt idx="30">
                  <c:v>0.12274994367509537</c:v>
                </c:pt>
                <c:pt idx="31">
                  <c:v>5.8099032787321134E-2</c:v>
                </c:pt>
                <c:pt idx="32">
                  <c:v>-1.2979428927929873E-2</c:v>
                </c:pt>
                <c:pt idx="33">
                  <c:v>-6.1477122712222332E-2</c:v>
                </c:pt>
                <c:pt idx="34">
                  <c:v>0.16419520723795836</c:v>
                </c:pt>
                <c:pt idx="35">
                  <c:v>3.1672652054268051E-2</c:v>
                </c:pt>
                <c:pt idx="36">
                  <c:v>0.18615395866786</c:v>
                </c:pt>
                <c:pt idx="37">
                  <c:v>-1.5111096336794947E-2</c:v>
                </c:pt>
                <c:pt idx="38">
                  <c:v>5.4787130032669801E-3</c:v>
                </c:pt>
                <c:pt idx="39">
                  <c:v>-1.4320608868297922E-2</c:v>
                </c:pt>
                <c:pt idx="40">
                  <c:v>-1.6668551473300798E-2</c:v>
                </c:pt>
                <c:pt idx="41">
                  <c:v>8.5166274051995908E-2</c:v>
                </c:pt>
                <c:pt idx="42">
                  <c:v>-8.4687962424080179E-2</c:v>
                </c:pt>
                <c:pt idx="43">
                  <c:v>-1.8992759073939831E-2</c:v>
                </c:pt>
                <c:pt idx="44">
                  <c:v>6.7152047244027263E-2</c:v>
                </c:pt>
                <c:pt idx="45">
                  <c:v>-3.9179164996792186E-2</c:v>
                </c:pt>
                <c:pt idx="46">
                  <c:v>0.12678937156191011</c:v>
                </c:pt>
                <c:pt idx="47">
                  <c:v>-6.7499884179060138E-2</c:v>
                </c:pt>
                <c:pt idx="48">
                  <c:v>0.11953425417470974</c:v>
                </c:pt>
                <c:pt idx="49">
                  <c:v>-6.0579352258668239E-3</c:v>
                </c:pt>
              </c:numCache>
            </c:numRef>
          </c:yVal>
          <c:smooth val="0"/>
          <c:extLst>
            <c:ext xmlns:c16="http://schemas.microsoft.com/office/drawing/2014/chart" uri="{C3380CC4-5D6E-409C-BE32-E72D297353CC}">
              <c16:uniqueId val="{00000000-B87B-4553-8049-8E51B65576AB}"/>
            </c:ext>
          </c:extLst>
        </c:ser>
        <c:ser>
          <c:idx val="1"/>
          <c:order val="1"/>
          <c:tx>
            <c:v>2023-2025 Securities</c:v>
          </c:tx>
          <c:spPr>
            <a:ln w="25400" cap="rnd">
              <a:noFill/>
              <a:round/>
            </a:ln>
            <a:effectLst/>
          </c:spPr>
          <c:marker>
            <c:symbol val="square"/>
            <c:size val="6"/>
            <c:spPr>
              <a:solidFill>
                <a:srgbClr val="FF7C80"/>
              </a:solidFill>
              <a:ln w="12700">
                <a:solidFill>
                  <a:srgbClr val="C00000"/>
                </a:solidFill>
                <a:round/>
              </a:ln>
              <a:effectLst/>
            </c:spPr>
          </c:marker>
          <c:dLbls>
            <c:dLbl>
              <c:idx val="0"/>
              <c:tx>
                <c:rich>
                  <a:bodyPr/>
                  <a:lstStyle/>
                  <a:p>
                    <a:r>
                      <a:rPr lang="en-US"/>
                      <a:t>MSFT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87B-4553-8049-8E51B65576AB}"/>
                </c:ext>
              </c:extLst>
            </c:dLbl>
            <c:dLbl>
              <c:idx val="1"/>
              <c:tx>
                <c:rich>
                  <a:bodyPr/>
                  <a:lstStyle/>
                  <a:p>
                    <a:r>
                      <a:rPr lang="en-US" sz="1000" baseline="0"/>
                      <a:t>JNJ</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87B-4553-8049-8E51B65576AB}"/>
                </c:ext>
              </c:extLst>
            </c:dLbl>
            <c:dLbl>
              <c:idx val="2"/>
              <c:tx>
                <c:rich>
                  <a:bodyPr/>
                  <a:lstStyle/>
                  <a:p>
                    <a:r>
                      <a:rPr lang="en-US"/>
                      <a:t>GLD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87B-4553-8049-8E51B65576AB}"/>
                </c:ext>
              </c:extLst>
            </c:dLbl>
            <c:dLbl>
              <c:idx val="3"/>
              <c:tx>
                <c:rich>
                  <a:bodyPr/>
                  <a:lstStyle/>
                  <a:p>
                    <a:r>
                      <a:rPr lang="en-US" sz="1000" baseline="0"/>
                      <a:t>VEA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87B-4553-8049-8E51B65576A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Calculations!$D$490:$G$490</c:f>
              <c:numCache>
                <c:formatCode>0.0000000%</c:formatCode>
                <c:ptCount val="4"/>
                <c:pt idx="0">
                  <c:v>0.18360111046252861</c:v>
                </c:pt>
                <c:pt idx="1">
                  <c:v>0.16234976038732915</c:v>
                </c:pt>
                <c:pt idx="2">
                  <c:v>0.12984359766122527</c:v>
                </c:pt>
                <c:pt idx="3">
                  <c:v>0.30910430571325803</c:v>
                </c:pt>
              </c:numCache>
            </c:numRef>
          </c:xVal>
          <c:yVal>
            <c:numRef>
              <c:f>Calculations!$D$489:$G$489</c:f>
              <c:numCache>
                <c:formatCode>0.0000000%</c:formatCode>
                <c:ptCount val="4"/>
                <c:pt idx="0">
                  <c:v>0.1486527376642493</c:v>
                </c:pt>
                <c:pt idx="1">
                  <c:v>4.6442453667006223E-2</c:v>
                </c:pt>
                <c:pt idx="2">
                  <c:v>0.23639630843576226</c:v>
                </c:pt>
                <c:pt idx="3">
                  <c:v>-0.23068085279562422</c:v>
                </c:pt>
              </c:numCache>
            </c:numRef>
          </c:yVal>
          <c:smooth val="0"/>
          <c:extLst>
            <c:ext xmlns:c16="http://schemas.microsoft.com/office/drawing/2014/chart" uri="{C3380CC4-5D6E-409C-BE32-E72D297353CC}">
              <c16:uniqueId val="{00000005-B87B-4553-8049-8E51B65576AB}"/>
            </c:ext>
          </c:extLst>
        </c:ser>
        <c:ser>
          <c:idx val="2"/>
          <c:order val="2"/>
          <c:tx>
            <c:v>Old Tangent Portfolio</c:v>
          </c:tx>
          <c:spPr>
            <a:ln w="25400" cap="rnd">
              <a:noFill/>
              <a:round/>
            </a:ln>
            <a:effectLst/>
          </c:spPr>
          <c:marker>
            <c:symbol val="diamond"/>
            <c:size val="11"/>
            <c:spPr>
              <a:solidFill>
                <a:srgbClr val="FFC000"/>
              </a:solidFill>
              <a:ln w="9525">
                <a:solidFill>
                  <a:srgbClr val="FC8B24"/>
                </a:solidFill>
              </a:ln>
              <a:effectLst/>
            </c:spPr>
          </c:marker>
          <c:dLbls>
            <c:dLbl>
              <c:idx val="0"/>
              <c:tx>
                <c:rich>
                  <a:bodyPr/>
                  <a:lstStyle/>
                  <a:p>
                    <a:r>
                      <a:rPr lang="en-US"/>
                      <a:t>Old</a:t>
                    </a:r>
                    <a:r>
                      <a:rPr lang="en-US" baseline="0"/>
                      <a:t> TP</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87B-4553-8049-8E51B65576A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Calculations!$H$205</c:f>
              <c:numCache>
                <c:formatCode>0.0000000%</c:formatCode>
                <c:ptCount val="1"/>
                <c:pt idx="0">
                  <c:v>0.18478759149338561</c:v>
                </c:pt>
              </c:numCache>
            </c:numRef>
          </c:xVal>
          <c:yVal>
            <c:numRef>
              <c:f>Calculations!$H$204</c:f>
              <c:numCache>
                <c:formatCode>0.0000000%</c:formatCode>
                <c:ptCount val="1"/>
                <c:pt idx="0">
                  <c:v>0.23309307655149375</c:v>
                </c:pt>
              </c:numCache>
            </c:numRef>
          </c:yVal>
          <c:smooth val="0"/>
          <c:extLst>
            <c:ext xmlns:c16="http://schemas.microsoft.com/office/drawing/2014/chart" uri="{C3380CC4-5D6E-409C-BE32-E72D297353CC}">
              <c16:uniqueId val="{00000007-B87B-4553-8049-8E51B65576AB}"/>
            </c:ext>
          </c:extLst>
        </c:ser>
        <c:ser>
          <c:idx val="3"/>
          <c:order val="3"/>
          <c:tx>
            <c:v>Old Capital Market Line</c:v>
          </c:tx>
          <c:spPr>
            <a:ln w="25400" cap="rnd">
              <a:noFill/>
              <a:round/>
            </a:ln>
            <a:effectLst/>
          </c:spPr>
          <c:marker>
            <c:symbol val="none"/>
          </c:marker>
          <c:dPt>
            <c:idx val="1"/>
            <c:marker>
              <c:symbol val="none"/>
            </c:marker>
            <c:bubble3D val="0"/>
            <c:extLst>
              <c:ext xmlns:c16="http://schemas.microsoft.com/office/drawing/2014/chart" uri="{C3380CC4-5D6E-409C-BE32-E72D297353CC}">
                <c16:uniqueId val="{00000008-B87B-4553-8049-8E51B65576AB}"/>
              </c:ext>
            </c:extLst>
          </c:dPt>
          <c:trendline>
            <c:name>Old Capital Market Line (CML)</c:name>
            <c:spPr>
              <a:ln w="25400" cap="rnd">
                <a:solidFill>
                  <a:srgbClr val="FC8B24">
                    <a:alpha val="50000"/>
                  </a:srgbClr>
                </a:solidFill>
                <a:prstDash val="sysDot"/>
              </a:ln>
              <a:effectLst/>
            </c:spPr>
            <c:trendlineType val="linear"/>
            <c:forward val="0.13"/>
            <c:dispRSqr val="0"/>
            <c:dispEq val="0"/>
          </c:trendline>
          <c:xVal>
            <c:numRef>
              <c:f>Calculations!$C$182:$D$182</c:f>
              <c:numCache>
                <c:formatCode>0.0000000%</c:formatCode>
                <c:ptCount val="2"/>
                <c:pt idx="0" formatCode="0%">
                  <c:v>0</c:v>
                </c:pt>
                <c:pt idx="1">
                  <c:v>0.18478759149338561</c:v>
                </c:pt>
              </c:numCache>
            </c:numRef>
          </c:xVal>
          <c:yVal>
            <c:numRef>
              <c:f>Calculations!$C$181:$D$181</c:f>
              <c:numCache>
                <c:formatCode>0.0000000%</c:formatCode>
                <c:ptCount val="2"/>
                <c:pt idx="0" formatCode="0%">
                  <c:v>0.01</c:v>
                </c:pt>
                <c:pt idx="1">
                  <c:v>0.23309307655149375</c:v>
                </c:pt>
              </c:numCache>
            </c:numRef>
          </c:yVal>
          <c:smooth val="0"/>
          <c:extLst>
            <c:ext xmlns:c16="http://schemas.microsoft.com/office/drawing/2014/chart" uri="{C3380CC4-5D6E-409C-BE32-E72D297353CC}">
              <c16:uniqueId val="{0000000A-B87B-4553-8049-8E51B65576AB}"/>
            </c:ext>
          </c:extLst>
        </c:ser>
        <c:ser>
          <c:idx val="4"/>
          <c:order val="4"/>
          <c:tx>
            <c:v>Risk Free Rate (Rf)</c:v>
          </c:tx>
          <c:spPr>
            <a:ln w="25400" cap="rnd">
              <a:noFill/>
              <a:round/>
            </a:ln>
            <a:effectLst/>
          </c:spPr>
          <c:marker>
            <c:symbol val="circle"/>
            <c:size val="5"/>
            <c:spPr>
              <a:solidFill>
                <a:schemeClr val="accent4">
                  <a:lumMod val="60000"/>
                  <a:lumOff val="40000"/>
                </a:schemeClr>
              </a:solidFill>
              <a:ln w="9525">
                <a:solidFill>
                  <a:srgbClr val="0B7EFD"/>
                </a:solidFill>
              </a:ln>
              <a:effectLst/>
            </c:spPr>
          </c:marker>
          <c:dPt>
            <c:idx val="0"/>
            <c:marker>
              <c:symbol val="circle"/>
              <c:size val="8"/>
              <c:spPr>
                <a:solidFill>
                  <a:schemeClr val="accent4">
                    <a:lumMod val="60000"/>
                    <a:lumOff val="40000"/>
                  </a:schemeClr>
                </a:solidFill>
                <a:ln w="9525">
                  <a:solidFill>
                    <a:srgbClr val="0B7EFD"/>
                  </a:solidFill>
                </a:ln>
                <a:effectLst/>
              </c:spPr>
            </c:marker>
            <c:bubble3D val="0"/>
            <c:extLst>
              <c:ext xmlns:c16="http://schemas.microsoft.com/office/drawing/2014/chart" uri="{C3380CC4-5D6E-409C-BE32-E72D297353CC}">
                <c16:uniqueId val="{0000000B-B87B-4553-8049-8E51B65576AB}"/>
              </c:ext>
            </c:extLst>
          </c:dPt>
          <c:dLbls>
            <c:dLbl>
              <c:idx val="0"/>
              <c:layout>
                <c:manualLayout>
                  <c:x val="-2.4426197302677415E-2"/>
                  <c:y val="-2.2668501036940136E-2"/>
                </c:manualLayout>
              </c:layout>
              <c:tx>
                <c:rich>
                  <a:bodyPr/>
                  <a:lstStyle/>
                  <a:p>
                    <a:fld id="{55778DED-FB04-485E-9C66-07544C121314}" type="CELLREF">
                      <a:rPr lang="en-US"/>
                      <a:pPr/>
                      <a:t>[CELLREF]</a:t>
                    </a:fld>
                    <a:endParaRPr lang="en-CA"/>
                  </a:p>
                </c:rich>
              </c:tx>
              <c:showLegendKey val="0"/>
              <c:showVal val="1"/>
              <c:showCatName val="0"/>
              <c:showSerName val="0"/>
              <c:showPercent val="0"/>
              <c:showBubbleSize val="0"/>
              <c:extLst>
                <c:ext xmlns:c15="http://schemas.microsoft.com/office/drawing/2012/chart" uri="{CE6537A1-D6FC-4f65-9D91-7224C49458BB}">
                  <c15:dlblFieldTable>
                    <c15:dlblFTEntry>
                      <c15:txfldGUID>{55778DED-FB04-485E-9C66-07544C121314}</c15:txfldGUID>
                      <c15:f>Calculations!$C$180</c15:f>
                      <c15:dlblFieldTableCache>
                        <c:ptCount val="1"/>
                        <c:pt idx="0">
                          <c:v>Rf</c:v>
                        </c:pt>
                      </c15:dlblFieldTableCache>
                    </c15:dlblFTEntry>
                  </c15:dlblFieldTable>
                  <c15:showDataLabelsRange val="0"/>
                </c:ext>
                <c:ext xmlns:c16="http://schemas.microsoft.com/office/drawing/2014/chart" uri="{C3380CC4-5D6E-409C-BE32-E72D297353CC}">
                  <c16:uniqueId val="{0000000B-B87B-4553-8049-8E51B65576A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Lit>
              <c:formatCode>General</c:formatCode>
              <c:ptCount val="1"/>
              <c:pt idx="0">
                <c:v>0</c:v>
              </c:pt>
            </c:numLit>
          </c:xVal>
          <c:yVal>
            <c:numLit>
              <c:formatCode>General</c:formatCode>
              <c:ptCount val="1"/>
              <c:pt idx="0">
                <c:v>0.01</c:v>
              </c:pt>
            </c:numLit>
          </c:yVal>
          <c:smooth val="0"/>
          <c:extLst>
            <c:ext xmlns:c16="http://schemas.microsoft.com/office/drawing/2014/chart" uri="{C3380CC4-5D6E-409C-BE32-E72D297353CC}">
              <c16:uniqueId val="{0000000C-B87B-4553-8049-8E51B65576AB}"/>
            </c:ext>
          </c:extLst>
        </c:ser>
        <c:dLbls>
          <c:showLegendKey val="0"/>
          <c:showVal val="0"/>
          <c:showCatName val="0"/>
          <c:showSerName val="0"/>
          <c:showPercent val="0"/>
          <c:showBubbleSize val="0"/>
        </c:dLbls>
        <c:axId val="2067701456"/>
        <c:axId val="2067713456"/>
      </c:scatterChart>
      <c:valAx>
        <c:axId val="2067701456"/>
        <c:scaling>
          <c:orientation val="minMax"/>
          <c:max val="0.32000000000000006"/>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Risk (%)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13456"/>
        <c:crosses val="autoZero"/>
        <c:crossBetween val="midCat"/>
      </c:valAx>
      <c:valAx>
        <c:axId val="206771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CA">
                    <a:solidFill>
                      <a:schemeClr val="tx1"/>
                    </a:solidFill>
                  </a:rPr>
                  <a:t>Annual 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7701456"/>
        <c:crosses val="autoZero"/>
        <c:crossBetween val="midCat"/>
      </c:valAx>
      <c:spPr>
        <a:noFill/>
        <a:ln>
          <a:noFill/>
        </a:ln>
        <a:effectLst/>
      </c:spPr>
    </c:plotArea>
    <c:legend>
      <c:legendPos val="r"/>
      <c:legendEntry>
        <c:idx val="3"/>
        <c:delete val="1"/>
      </c:legendEntry>
      <c:layout>
        <c:manualLayout>
          <c:xMode val="edge"/>
          <c:yMode val="edge"/>
          <c:x val="0.77025478482255383"/>
          <c:y val="0.18577680501937671"/>
          <c:w val="0.19524993134721411"/>
          <c:h val="0.5736019929753351"/>
        </c:manualLayout>
      </c:layout>
      <c:overlay val="0"/>
      <c:spPr>
        <a:noFill/>
        <a:ln cap="rnd">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1138924</xdr:colOff>
      <xdr:row>131</xdr:row>
      <xdr:rowOff>111653</xdr:rowOff>
    </xdr:from>
    <xdr:to>
      <xdr:col>10</xdr:col>
      <xdr:colOff>637309</xdr:colOff>
      <xdr:row>159</xdr:row>
      <xdr:rowOff>138546</xdr:rowOff>
    </xdr:to>
    <xdr:graphicFrame macro="">
      <xdr:nvGraphicFramePr>
        <xdr:cNvPr id="5" name="Chart 4">
          <a:extLst>
            <a:ext uri="{FF2B5EF4-FFF2-40B4-BE49-F238E27FC236}">
              <a16:creationId xmlns:a16="http://schemas.microsoft.com/office/drawing/2014/main" id="{EB5BC30C-C339-4521-4E99-D783213BA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26894</xdr:colOff>
      <xdr:row>182</xdr:row>
      <xdr:rowOff>116541</xdr:rowOff>
    </xdr:from>
    <xdr:to>
      <xdr:col>5</xdr:col>
      <xdr:colOff>928255</xdr:colOff>
      <xdr:row>208</xdr:row>
      <xdr:rowOff>83127</xdr:rowOff>
    </xdr:to>
    <xdr:graphicFrame macro="">
      <xdr:nvGraphicFramePr>
        <xdr:cNvPr id="10" name="Chart 1">
          <a:extLst>
            <a:ext uri="{FF2B5EF4-FFF2-40B4-BE49-F238E27FC236}">
              <a16:creationId xmlns:a16="http://schemas.microsoft.com/office/drawing/2014/main" id="{9C057516-2AC3-4C8D-A214-A4F02665C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1132354</xdr:colOff>
      <xdr:row>253</xdr:row>
      <xdr:rowOff>29135</xdr:rowOff>
    </xdr:from>
    <xdr:to>
      <xdr:col>5</xdr:col>
      <xdr:colOff>27454</xdr:colOff>
      <xdr:row>267</xdr:row>
      <xdr:rowOff>105335</xdr:rowOff>
    </xdr:to>
    <xdr:graphicFrame macro="">
      <xdr:nvGraphicFramePr>
        <xdr:cNvPr id="2" name="Chart 1">
          <a:extLst>
            <a:ext uri="{FF2B5EF4-FFF2-40B4-BE49-F238E27FC236}">
              <a16:creationId xmlns:a16="http://schemas.microsoft.com/office/drawing/2014/main" id="{A492BFB3-1D9E-F6F5-7292-B57E6812B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1103416</xdr:colOff>
      <xdr:row>276</xdr:row>
      <xdr:rowOff>149430</xdr:rowOff>
    </xdr:from>
    <xdr:to>
      <xdr:col>5</xdr:col>
      <xdr:colOff>5443</xdr:colOff>
      <xdr:row>291</xdr:row>
      <xdr:rowOff>45520</xdr:rowOff>
    </xdr:to>
    <xdr:graphicFrame macro="">
      <xdr:nvGraphicFramePr>
        <xdr:cNvPr id="3" name="Chart 2">
          <a:extLst>
            <a:ext uri="{FF2B5EF4-FFF2-40B4-BE49-F238E27FC236}">
              <a16:creationId xmlns:a16="http://schemas.microsoft.com/office/drawing/2014/main" id="{3B154591-3F32-4AE4-A598-A78BD6752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28874</xdr:colOff>
      <xdr:row>253</xdr:row>
      <xdr:rowOff>90054</xdr:rowOff>
    </xdr:from>
    <xdr:to>
      <xdr:col>10</xdr:col>
      <xdr:colOff>422243</xdr:colOff>
      <xdr:row>267</xdr:row>
      <xdr:rowOff>166254</xdr:rowOff>
    </xdr:to>
    <xdr:graphicFrame macro="">
      <xdr:nvGraphicFramePr>
        <xdr:cNvPr id="4" name="Chart 3">
          <a:extLst>
            <a:ext uri="{FF2B5EF4-FFF2-40B4-BE49-F238E27FC236}">
              <a16:creationId xmlns:a16="http://schemas.microsoft.com/office/drawing/2014/main" id="{D5DB0976-1101-4B0F-88B9-73D04C9AB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990</xdr:colOff>
      <xdr:row>276</xdr:row>
      <xdr:rowOff>166256</xdr:rowOff>
    </xdr:from>
    <xdr:to>
      <xdr:col>10</xdr:col>
      <xdr:colOff>394359</xdr:colOff>
      <xdr:row>291</xdr:row>
      <xdr:rowOff>62346</xdr:rowOff>
    </xdr:to>
    <xdr:graphicFrame macro="">
      <xdr:nvGraphicFramePr>
        <xdr:cNvPr id="6" name="Chart 5">
          <a:extLst>
            <a:ext uri="{FF2B5EF4-FFF2-40B4-BE49-F238E27FC236}">
              <a16:creationId xmlns:a16="http://schemas.microsoft.com/office/drawing/2014/main" id="{C8EC8FBA-055D-4560-A5B2-9C661A1CB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310</xdr:row>
      <xdr:rowOff>0</xdr:rowOff>
    </xdr:from>
    <xdr:to>
      <xdr:col>9</xdr:col>
      <xdr:colOff>232677</xdr:colOff>
      <xdr:row>338</xdr:row>
      <xdr:rowOff>23925</xdr:rowOff>
    </xdr:to>
    <xdr:graphicFrame macro="">
      <xdr:nvGraphicFramePr>
        <xdr:cNvPr id="7" name="Chart 1">
          <a:extLst>
            <a:ext uri="{FF2B5EF4-FFF2-40B4-BE49-F238E27FC236}">
              <a16:creationId xmlns:a16="http://schemas.microsoft.com/office/drawing/2014/main" id="{5C7B789E-1499-40F3-8E42-865D53141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6926</xdr:colOff>
      <xdr:row>351</xdr:row>
      <xdr:rowOff>96982</xdr:rowOff>
    </xdr:from>
    <xdr:to>
      <xdr:col>8</xdr:col>
      <xdr:colOff>96981</xdr:colOff>
      <xdr:row>375</xdr:row>
      <xdr:rowOff>124691</xdr:rowOff>
    </xdr:to>
    <xdr:graphicFrame macro="">
      <xdr:nvGraphicFramePr>
        <xdr:cNvPr id="9" name="Chart 8">
          <a:extLst>
            <a:ext uri="{FF2B5EF4-FFF2-40B4-BE49-F238E27FC236}">
              <a16:creationId xmlns:a16="http://schemas.microsoft.com/office/drawing/2014/main" id="{7FE23448-FB4E-9A72-8837-531B700D9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1099457</xdr:colOff>
      <xdr:row>436</xdr:row>
      <xdr:rowOff>125185</xdr:rowOff>
    </xdr:from>
    <xdr:to>
      <xdr:col>5</xdr:col>
      <xdr:colOff>957943</xdr:colOff>
      <xdr:row>452</xdr:row>
      <xdr:rowOff>152399</xdr:rowOff>
    </xdr:to>
    <xdr:graphicFrame macro="">
      <xdr:nvGraphicFramePr>
        <xdr:cNvPr id="11" name="Chart 10">
          <a:extLst>
            <a:ext uri="{FF2B5EF4-FFF2-40B4-BE49-F238E27FC236}">
              <a16:creationId xmlns:a16="http://schemas.microsoft.com/office/drawing/2014/main" id="{84C1FA3F-6951-3C2E-F73B-3E45B95F9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13854</xdr:colOff>
      <xdr:row>493</xdr:row>
      <xdr:rowOff>0</xdr:rowOff>
    </xdr:from>
    <xdr:to>
      <xdr:col>8</xdr:col>
      <xdr:colOff>152400</xdr:colOff>
      <xdr:row>521</xdr:row>
      <xdr:rowOff>138545</xdr:rowOff>
    </xdr:to>
    <xdr:graphicFrame macro="">
      <xdr:nvGraphicFramePr>
        <xdr:cNvPr id="12" name="Chart 1">
          <a:extLst>
            <a:ext uri="{FF2B5EF4-FFF2-40B4-BE49-F238E27FC236}">
              <a16:creationId xmlns:a16="http://schemas.microsoft.com/office/drawing/2014/main" id="{740F7460-AC16-40C3-840D-A3B229AD4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0.23695</cdr:x>
      <cdr:y>0.49192</cdr:y>
    </cdr:from>
    <cdr:to>
      <cdr:x>0.23722</cdr:x>
      <cdr:y>0.54282</cdr:y>
    </cdr:to>
    <cdr:cxnSp macro="">
      <cdr:nvCxnSpPr>
        <cdr:cNvPr id="3" name="Straight Connector 2">
          <a:extLst xmlns:a="http://schemas.openxmlformats.org/drawingml/2006/main">
            <a:ext uri="{FF2B5EF4-FFF2-40B4-BE49-F238E27FC236}">
              <a16:creationId xmlns:a16="http://schemas.microsoft.com/office/drawing/2014/main" id="{66E81250-4C21-4D5B-635F-60A302CD09F1}"/>
            </a:ext>
          </a:extLst>
        </cdr:cNvPr>
        <cdr:cNvCxnSpPr/>
      </cdr:nvCxnSpPr>
      <cdr:spPr>
        <a:xfrm xmlns:a="http://schemas.openxmlformats.org/drawingml/2006/main" flipH="1">
          <a:off x="1515587" y="1474973"/>
          <a:ext cx="1727" cy="152617"/>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0.25654</cdr:x>
      <cdr:y>0.24487</cdr:y>
    </cdr:from>
    <cdr:to>
      <cdr:x>0.25666</cdr:x>
      <cdr:y>0.54929</cdr:y>
    </cdr:to>
    <cdr:cxnSp macro="">
      <cdr:nvCxnSpPr>
        <cdr:cNvPr id="7" name="Straight Connector 6">
          <a:extLst xmlns:a="http://schemas.openxmlformats.org/drawingml/2006/main">
            <a:ext uri="{FF2B5EF4-FFF2-40B4-BE49-F238E27FC236}">
              <a16:creationId xmlns:a16="http://schemas.microsoft.com/office/drawing/2014/main" id="{4607506A-32A5-2DB0-DF96-30C55825969B}"/>
            </a:ext>
          </a:extLst>
        </cdr:cNvPr>
        <cdr:cNvCxnSpPr/>
      </cdr:nvCxnSpPr>
      <cdr:spPr>
        <a:xfrm xmlns:a="http://schemas.openxmlformats.org/drawingml/2006/main">
          <a:off x="1640890" y="734198"/>
          <a:ext cx="768" cy="912765"/>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0.50955</cdr:x>
      <cdr:y>0.3546</cdr:y>
    </cdr:from>
    <cdr:to>
      <cdr:x>0.50967</cdr:x>
      <cdr:y>0.54997</cdr:y>
    </cdr:to>
    <cdr:cxnSp macro="">
      <cdr:nvCxnSpPr>
        <cdr:cNvPr id="11" name="Straight Connector 10">
          <a:extLst xmlns:a="http://schemas.openxmlformats.org/drawingml/2006/main">
            <a:ext uri="{FF2B5EF4-FFF2-40B4-BE49-F238E27FC236}">
              <a16:creationId xmlns:a16="http://schemas.microsoft.com/office/drawing/2014/main" id="{7AB77037-D785-F113-2D19-24763C9F574D}"/>
            </a:ext>
          </a:extLst>
        </cdr:cNvPr>
        <cdr:cNvCxnSpPr/>
      </cdr:nvCxnSpPr>
      <cdr:spPr>
        <a:xfrm xmlns:a="http://schemas.openxmlformats.org/drawingml/2006/main">
          <a:off x="3259237" y="1063237"/>
          <a:ext cx="768" cy="585792"/>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0.56963</cdr:x>
      <cdr:y>0.54712</cdr:y>
    </cdr:from>
    <cdr:to>
      <cdr:x>0.56975</cdr:x>
      <cdr:y>0.86231</cdr:y>
    </cdr:to>
    <cdr:cxnSp macro="">
      <cdr:nvCxnSpPr>
        <cdr:cNvPr id="13" name="Straight Connector 12">
          <a:extLst xmlns:a="http://schemas.openxmlformats.org/drawingml/2006/main">
            <a:ext uri="{FF2B5EF4-FFF2-40B4-BE49-F238E27FC236}">
              <a16:creationId xmlns:a16="http://schemas.microsoft.com/office/drawing/2014/main" id="{9F485AA3-B3D0-1F24-93B2-E973CAA68260}"/>
            </a:ext>
          </a:extLst>
        </cdr:cNvPr>
        <cdr:cNvCxnSpPr/>
      </cdr:nvCxnSpPr>
      <cdr:spPr>
        <a:xfrm xmlns:a="http://schemas.openxmlformats.org/drawingml/2006/main">
          <a:off x="3643507" y="1640483"/>
          <a:ext cx="767" cy="945057"/>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0.71984</cdr:x>
      <cdr:y>0.7483</cdr:y>
    </cdr:from>
    <cdr:to>
      <cdr:x>0.758</cdr:x>
      <cdr:y>0.74875</cdr:y>
    </cdr:to>
    <cdr:cxnSp macro="">
      <cdr:nvCxnSpPr>
        <cdr:cNvPr id="16" name="Straight Connector 15">
          <a:extLst xmlns:a="http://schemas.openxmlformats.org/drawingml/2006/main">
            <a:ext uri="{FF2B5EF4-FFF2-40B4-BE49-F238E27FC236}">
              <a16:creationId xmlns:a16="http://schemas.microsoft.com/office/drawing/2014/main" id="{E7B3381D-FB3C-5497-3E0F-2B9AAF8AD954}"/>
            </a:ext>
          </a:extLst>
        </cdr:cNvPr>
        <cdr:cNvCxnSpPr/>
      </cdr:nvCxnSpPr>
      <cdr:spPr>
        <a:xfrm xmlns:a="http://schemas.openxmlformats.org/drawingml/2006/main" flipH="1" flipV="1">
          <a:off x="4598915" y="2209950"/>
          <a:ext cx="243834" cy="1336"/>
        </a:xfrm>
        <a:prstGeom xmlns:a="http://schemas.openxmlformats.org/drawingml/2006/main" prst="line">
          <a:avLst/>
        </a:prstGeom>
        <a:ln xmlns:a="http://schemas.openxmlformats.org/drawingml/2006/main">
          <a:solidFill>
            <a:srgbClr val="FF0000"/>
          </a:solidFill>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0.74896</cdr:x>
      <cdr:y>0.70629</cdr:y>
    </cdr:from>
    <cdr:to>
      <cdr:x>0.97674</cdr:x>
      <cdr:y>0.78768</cdr:y>
    </cdr:to>
    <cdr:sp macro="" textlink="">
      <cdr:nvSpPr>
        <cdr:cNvPr id="19" name="TextBox 18">
          <a:extLst xmlns:a="http://schemas.openxmlformats.org/drawingml/2006/main">
            <a:ext uri="{FF2B5EF4-FFF2-40B4-BE49-F238E27FC236}">
              <a16:creationId xmlns:a16="http://schemas.microsoft.com/office/drawing/2014/main" id="{8EE15460-09A0-721B-23D9-98DA8373C6A1}"/>
            </a:ext>
          </a:extLst>
        </cdr:cNvPr>
        <cdr:cNvSpPr txBox="1"/>
      </cdr:nvSpPr>
      <cdr:spPr>
        <a:xfrm xmlns:a="http://schemas.openxmlformats.org/drawingml/2006/main">
          <a:off x="4784959" y="2085875"/>
          <a:ext cx="1455263" cy="2403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CA" sz="900" kern="1200">
              <a:solidFill>
                <a:schemeClr val="tx1">
                  <a:lumMod val="65000"/>
                  <a:lumOff val="35000"/>
                </a:schemeClr>
              </a:solidFill>
            </a:rPr>
            <a:t>Alpha = Actual -</a:t>
          </a:r>
          <a:r>
            <a:rPr lang="en-CA" sz="900" kern="1200" baseline="0">
              <a:solidFill>
                <a:schemeClr val="tx1">
                  <a:lumMod val="65000"/>
                  <a:lumOff val="35000"/>
                </a:schemeClr>
              </a:solidFill>
            </a:rPr>
            <a:t> Forecasted</a:t>
          </a:r>
          <a:endParaRPr lang="en-CA" sz="900" kern="1200">
            <a:solidFill>
              <a:schemeClr val="tx1">
                <a:lumMod val="65000"/>
                <a:lumOff val="35000"/>
              </a:schemeClr>
            </a:solidFill>
          </a:endParaRPr>
        </a:p>
      </cdr:txBody>
    </cdr:sp>
  </cdr:relSizeAnchor>
</c:userShape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
  <a r="1" c="61">
    <v t="i">0</v>
    <v t="i">31</v>
    <v t="i">61</v>
    <v t="i">92</v>
    <v t="i">122</v>
    <v t="i">153</v>
    <v t="i">184</v>
    <v t="i">214</v>
    <v t="i">245</v>
    <v t="i">275</v>
    <v t="i">306</v>
    <v t="i">337</v>
    <v t="i">365</v>
    <v t="i">396</v>
    <v t="i">426</v>
    <v t="i">457</v>
    <v t="i">487</v>
    <v t="i">518</v>
    <v t="i">549</v>
    <v t="i">579</v>
    <v t="i">610</v>
    <v t="i">640</v>
    <v t="i">671</v>
    <v t="i">702</v>
    <v t="i">730</v>
    <v t="i">761</v>
    <v t="i">791</v>
    <v t="i">822</v>
    <v t="i">852</v>
    <v t="i">883</v>
    <v t="i">914</v>
    <v t="i">944</v>
    <v t="i">975</v>
    <v t="i">1005</v>
    <v t="i">1036</v>
    <v t="i">1067</v>
    <v t="i">1095</v>
    <v t="i">1126</v>
    <v t="i">1156</v>
    <v t="i">1187</v>
    <v t="i">1217</v>
    <v t="i">1248</v>
    <v t="i">1279</v>
    <v t="i">1309</v>
    <v t="i">1340</v>
    <v t="i">1370</v>
    <v t="i">1401</v>
    <v t="i">1432</v>
    <v t="i">1461</v>
    <v t="i">1492</v>
    <v t="i">1522</v>
    <v t="i">1553</v>
    <v t="i">1583</v>
    <v t="i">1614</v>
    <v t="i">1645</v>
    <v t="i">1675</v>
    <v t="i">1706</v>
    <v t="i">1736</v>
    <v t="i">1767</v>
    <v t="i">1798</v>
    <v t="i">1826</v>
  </a>
  <a r="1" c="61">
    <v>157.71</v>
    <v>179.21</v>
    <v>183.25</v>
    <v>203.51</v>
    <v>205.01</v>
    <v>225.53</v>
    <v>210.33</v>
    <v>202.47</v>
    <v>214.07</v>
    <v>222.42</v>
    <v>231.96</v>
    <v>232.38</v>
    <v>235.77</v>
    <v>252.18</v>
    <v>249.68</v>
    <v>270.89999999999998</v>
    <v>284.91000000000003</v>
    <v>301.88</v>
    <v>281.92</v>
    <v>331.62</v>
    <v>330.59</v>
    <v>336.32</v>
    <v>310.98</v>
    <v>298.79000000000002</v>
    <v>308.31</v>
    <v>277.52</v>
    <v>271.87</v>
    <v>256.83</v>
    <v>280.74</v>
    <v>261.47000000000003</v>
    <v>232.9</v>
    <v>232.13</v>
    <v>255.14</v>
    <v>239.82</v>
    <v>247.81</v>
    <v>249.42</v>
    <v>288.3</v>
    <v>307.26</v>
    <v>328.39</v>
    <v>340.54</v>
    <v>335.92</v>
    <v>327.76</v>
    <v>315.75</v>
    <v>338.11</v>
    <v>378.91</v>
    <v>376.04</v>
    <v>397.58</v>
    <v>413.64</v>
    <v>420.72</v>
    <v>389.33</v>
    <v>415.13</v>
    <v>446.95</v>
    <v>418.35</v>
    <v>417.14</v>
    <v>430.3</v>
    <v>406.35</v>
    <v>423.46</v>
    <v>421.5</v>
    <v>415.06</v>
    <v>396.99</v>
    <v>375.39</v>
  </a>
  <a r="1" c="61">
    <v>131.13</v>
    <v>150.04</v>
    <v>148.75</v>
    <v>140.63</v>
    <v>145.76</v>
    <v>153.41</v>
    <v>148.88</v>
    <v>137.11000000000001</v>
    <v>144.68</v>
    <v>157.38</v>
    <v>163.13</v>
    <v>158.46</v>
    <v>164.35</v>
    <v>162.72999999999999</v>
    <v>169.25</v>
    <v>164.74</v>
    <v>172.2</v>
    <v>173.13</v>
    <v>161.5</v>
    <v>162.88</v>
    <v>155.93</v>
    <v>171.07</v>
    <v>172.29</v>
    <v>164.57</v>
    <v>177.23</v>
    <v>180.46</v>
    <v>179.53</v>
    <v>177.51</v>
    <v>174.52</v>
    <v>161.34</v>
    <v>163.36000000000001</v>
    <v>173.97</v>
    <v>178</v>
    <v>176.65</v>
    <v>163.41999999999999</v>
    <v>153.26</v>
    <v>155</v>
    <v>163.69999999999999</v>
    <v>155.06</v>
    <v>165.52</v>
    <v>167.53</v>
    <v>161.68</v>
    <v>155.75</v>
    <v>148.34</v>
    <v>154.66</v>
    <v>156.74</v>
    <v>158.9</v>
    <v>161.38</v>
    <v>158.19</v>
    <v>144.59</v>
    <v>146.66999999999999</v>
    <v>146.16</v>
    <v>157.85</v>
    <v>165.86</v>
    <v>162.06</v>
    <v>159.86000000000001</v>
    <v>155.01</v>
    <v>144.62</v>
    <v>152.15</v>
    <v>165.02</v>
    <v>165.84</v>
  </a>
  <a r="1" c="61">
    <v>1.5587</v>
    <v>1.7796000000000001</v>
    <v>2.0188999999999999</v>
    <v>2.2336999999999998</v>
    <v>1.976</v>
    <v>2.0619000000000001</v>
    <v>1.9637</v>
    <v>1.7371000000000001</v>
    <v>1.9947999999999999</v>
    <v>1.9691000000000001</v>
    <v>1.7989999999999999</v>
    <v>1.7164999999999999</v>
    <v>1.732</v>
    <v>2.0154999999999998</v>
    <v>2.0928</v>
    <v>1.9897</v>
    <v>2.1236999999999999</v>
    <v>2.2061999999999999</v>
    <v>2.4535999999999998</v>
    <v>2.3199999999999998</v>
    <v>2.2000000000000002</v>
    <v>2.35</v>
    <v>2.14</v>
    <v>2.44</v>
    <v>2.35</v>
    <v>2.81</v>
    <v>2.84</v>
    <v>2.89</v>
    <v>2.66</v>
    <v>2.98</v>
    <v>2.61</v>
    <v>2.83</v>
    <v>2.76</v>
    <v>2.73</v>
    <v>2.91</v>
    <v>3.01</v>
    <v>3.03</v>
    <v>3.1</v>
    <v>3.17</v>
    <v>3.01</v>
    <v>3.15</v>
    <v>3.12</v>
    <v>3</v>
    <v>2.83</v>
    <v>3.08</v>
    <v>3.49</v>
    <v>3.51</v>
    <v>3.67</v>
    <v>3.7</v>
    <v>3.43</v>
    <v>3.48</v>
    <v>3.15</v>
    <v>3.26</v>
    <v>2.88</v>
    <v>2.93</v>
    <v>2.63</v>
    <v>2.61</v>
    <v>2.63</v>
    <v>2.6</v>
    <v>1.7250000000000001</v>
    <v>1.7050000000000001</v>
  </a>
  <a r="1" c="61">
    <v>148.05000000000001</v>
    <v>158.80000000000001</v>
    <v>162.91</v>
    <v>167.37</v>
    <v>185.43</v>
    <v>184.83</v>
    <v>177.12</v>
    <v>176.2</v>
    <v>166.67</v>
    <v>178.36</v>
    <v>172.61</v>
    <v>161.81</v>
    <v>159.96</v>
    <v>165.66</v>
    <v>178.38</v>
    <v>165.63</v>
    <v>169.82</v>
    <v>169.69</v>
    <v>164.22</v>
    <v>166.65</v>
    <v>165.5</v>
    <v>170.96</v>
    <v>168.09</v>
    <v>178.38</v>
    <v>180.65</v>
    <v>176.91</v>
    <v>171.14</v>
    <v>168.46</v>
    <v>164.1</v>
    <v>159.27000000000001</v>
    <v>154.66999999999999</v>
    <v>151.91</v>
    <v>164.81</v>
    <v>169.64</v>
    <v>179.41</v>
    <v>169.78</v>
    <v>183.22</v>
    <v>184.8</v>
    <v>182.32</v>
    <v>178.27</v>
    <v>182.35</v>
    <v>180.02</v>
    <v>171.45</v>
    <v>184.09</v>
    <v>188.75</v>
    <v>191.17</v>
    <v>188.45</v>
    <v>189.31</v>
    <v>205.72</v>
    <v>211.87</v>
    <v>215.3</v>
    <v>215.01</v>
    <v>226.55</v>
    <v>231.29</v>
    <v>243.06</v>
    <v>253.51</v>
    <v>245.59</v>
    <v>242.13</v>
    <v>258.56</v>
    <v>263.27</v>
    <v>288.14</v>
  </a>
</arrayData>
</file>

<file path=xl/richData/rdrichvalue.xml><?xml version="1.0" encoding="utf-8"?>
<rvData xmlns="http://schemas.microsoft.com/office/spreadsheetml/2017/richdata" count="302">
  <rv s="0">
    <fb>43891</fb>
    <v>0</v>
  </rv>
  <rv s="0">
    <fb>157.71</fb>
    <v>1</v>
  </rv>
  <rv s="0">
    <fb>131.13</fb>
    <v>1</v>
  </rv>
  <rv s="0">
    <fb>148.05000000000001</fb>
    <v>1</v>
  </rv>
  <rv s="0">
    <fb>1.5587</fb>
    <v>2</v>
  </rv>
  <rv s="0">
    <fb>43922</fb>
    <v>0</v>
  </rv>
  <rv s="0">
    <fb>179.21</fb>
    <v>1</v>
  </rv>
  <rv s="0">
    <fb>150.04</fb>
    <v>1</v>
  </rv>
  <rv s="0">
    <fb>158.80000000000001</fb>
    <v>1</v>
  </rv>
  <rv s="0">
    <fb>1.7796000000000001</fb>
    <v>2</v>
  </rv>
  <rv s="0">
    <fb>43952</fb>
    <v>0</v>
  </rv>
  <rv s="0">
    <fb>183.25</fb>
    <v>1</v>
  </rv>
  <rv s="0">
    <fb>148.75</fb>
    <v>1</v>
  </rv>
  <rv s="0">
    <fb>162.91</fb>
    <v>1</v>
  </rv>
  <rv s="0">
    <fb>2.0188999999999999</fb>
    <v>2</v>
  </rv>
  <rv s="0">
    <fb>43983</fb>
    <v>0</v>
  </rv>
  <rv s="0">
    <fb>203.51</fb>
    <v>1</v>
  </rv>
  <rv s="0">
    <fb>140.63</fb>
    <v>1</v>
  </rv>
  <rv s="0">
    <fb>167.37</fb>
    <v>1</v>
  </rv>
  <rv s="0">
    <fb>2.2336999999999998</fb>
    <v>2</v>
  </rv>
  <rv s="0">
    <fb>44013</fb>
    <v>0</v>
  </rv>
  <rv s="0">
    <fb>205.01</fb>
    <v>1</v>
  </rv>
  <rv s="0">
    <fb>145.76</fb>
    <v>1</v>
  </rv>
  <rv s="0">
    <fb>185.43</fb>
    <v>1</v>
  </rv>
  <rv s="0">
    <fb>1.976</fb>
    <v>2</v>
  </rv>
  <rv s="0">
    <fb>44044</fb>
    <v>0</v>
  </rv>
  <rv s="0">
    <fb>225.53</fb>
    <v>1</v>
  </rv>
  <rv s="0">
    <fb>153.41</fb>
    <v>1</v>
  </rv>
  <rv s="0">
    <fb>184.83</fb>
    <v>1</v>
  </rv>
  <rv s="0">
    <fb>2.0619000000000001</fb>
    <v>2</v>
  </rv>
  <rv s="0">
    <fb>44075</fb>
    <v>0</v>
  </rv>
  <rv s="0">
    <fb>210.33</fb>
    <v>1</v>
  </rv>
  <rv s="0">
    <fb>148.88</fb>
    <v>1</v>
  </rv>
  <rv s="0">
    <fb>177.12</fb>
    <v>1</v>
  </rv>
  <rv s="0">
    <fb>1.9637</fb>
    <v>2</v>
  </rv>
  <rv s="0">
    <fb>44105</fb>
    <v>0</v>
  </rv>
  <rv s="0">
    <fb>202.47</fb>
    <v>1</v>
  </rv>
  <rv s="0">
    <fb>137.11000000000001</fb>
    <v>1</v>
  </rv>
  <rv s="0">
    <fb>176.2</fb>
    <v>1</v>
  </rv>
  <rv s="0">
    <fb>1.7371000000000001</fb>
    <v>2</v>
  </rv>
  <rv s="0">
    <fb>44136</fb>
    <v>0</v>
  </rv>
  <rv s="0">
    <fb>214.07</fb>
    <v>1</v>
  </rv>
  <rv s="0">
    <fb>144.68</fb>
    <v>1</v>
  </rv>
  <rv s="0">
    <fb>166.67</fb>
    <v>1</v>
  </rv>
  <rv s="0">
    <fb>1.9947999999999999</fb>
    <v>2</v>
  </rv>
  <rv s="0">
    <fb>44166</fb>
    <v>0</v>
  </rv>
  <rv s="0">
    <fb>222.42</fb>
    <v>1</v>
  </rv>
  <rv s="0">
    <fb>157.38</fb>
    <v>1</v>
  </rv>
  <rv s="0">
    <fb>178.36</fb>
    <v>1</v>
  </rv>
  <rv s="0">
    <fb>1.9691000000000001</fb>
    <v>2</v>
  </rv>
  <rv s="0">
    <fb>44197</fb>
    <v>0</v>
  </rv>
  <rv s="0">
    <fb>231.96</fb>
    <v>1</v>
  </rv>
  <rv s="0">
    <fb>163.13</fb>
    <v>1</v>
  </rv>
  <rv s="0">
    <fb>172.61</fb>
    <v>1</v>
  </rv>
  <rv s="0">
    <fb>1.7989999999999999</fb>
    <v>2</v>
  </rv>
  <rv s="0">
    <fb>44228</fb>
    <v>0</v>
  </rv>
  <rv s="0">
    <fb>232.38</fb>
    <v>1</v>
  </rv>
  <rv s="0">
    <fb>158.46</fb>
    <v>1</v>
  </rv>
  <rv s="0">
    <fb>161.81</fb>
    <v>1</v>
  </rv>
  <rv s="0">
    <fb>1.7164999999999999</fb>
    <v>2</v>
  </rv>
  <rv s="0">
    <fb>44256</fb>
    <v>0</v>
  </rv>
  <rv s="0">
    <fb>235.77</fb>
    <v>1</v>
  </rv>
  <rv s="0">
    <fb>164.35</fb>
    <v>1</v>
  </rv>
  <rv s="0">
    <fb>159.96</fb>
    <v>1</v>
  </rv>
  <rv s="0">
    <fb>1.732</fb>
    <v>2</v>
  </rv>
  <rv s="0">
    <fb>44287</fb>
    <v>0</v>
  </rv>
  <rv s="0">
    <fb>252.18</fb>
    <v>1</v>
  </rv>
  <rv s="0">
    <fb>162.72999999999999</fb>
    <v>1</v>
  </rv>
  <rv s="0">
    <fb>165.66</fb>
    <v>1</v>
  </rv>
  <rv s="0">
    <fb>2.0154999999999998</fb>
    <v>2</v>
  </rv>
  <rv s="0">
    <fb>44317</fb>
    <v>0</v>
  </rv>
  <rv s="0">
    <fb>249.68</fb>
    <v>1</v>
  </rv>
  <rv s="0">
    <fb>169.25</fb>
    <v>1</v>
  </rv>
  <rv s="0">
    <fb>178.38</fb>
    <v>1</v>
  </rv>
  <rv s="0">
    <fb>2.0928</fb>
    <v>2</v>
  </rv>
  <rv s="0">
    <fb>44348</fb>
    <v>0</v>
  </rv>
  <rv s="0">
    <fb>270.89999999999998</fb>
    <v>1</v>
  </rv>
  <rv s="0">
    <fb>164.74</fb>
    <v>1</v>
  </rv>
  <rv s="0">
    <fb>165.63</fb>
    <v>1</v>
  </rv>
  <rv s="0">
    <fb>1.9897</fb>
    <v>2</v>
  </rv>
  <rv s="0">
    <fb>44378</fb>
    <v>0</v>
  </rv>
  <rv s="0">
    <fb>284.91000000000003</fb>
    <v>1</v>
  </rv>
  <rv s="0">
    <fb>172.2</fb>
    <v>1</v>
  </rv>
  <rv s="0">
    <fb>169.82</fb>
    <v>1</v>
  </rv>
  <rv s="0">
    <fb>2.1236999999999999</fb>
    <v>2</v>
  </rv>
  <rv s="0">
    <fb>44409</fb>
    <v>0</v>
  </rv>
  <rv s="0">
    <fb>301.88</fb>
    <v>1</v>
  </rv>
  <rv s="0">
    <fb>173.13</fb>
    <v>1</v>
  </rv>
  <rv s="0">
    <fb>169.69</fb>
    <v>1</v>
  </rv>
  <rv s="0">
    <fb>2.2061999999999999</fb>
    <v>2</v>
  </rv>
  <rv s="0">
    <fb>44440</fb>
    <v>0</v>
  </rv>
  <rv s="0">
    <fb>281.92</fb>
    <v>1</v>
  </rv>
  <rv s="0">
    <fb>161.5</fb>
    <v>1</v>
  </rv>
  <rv s="0">
    <fb>164.22</fb>
    <v>1</v>
  </rv>
  <rv s="0">
    <fb>2.4535999999999998</fb>
    <v>2</v>
  </rv>
  <rv s="0">
    <fb>44470</fb>
    <v>0</v>
  </rv>
  <rv s="0">
    <fb>331.62</fb>
    <v>1</v>
  </rv>
  <rv s="0">
    <fb>162.88</fb>
    <v>1</v>
  </rv>
  <rv s="0">
    <fb>166.65</fb>
    <v>1</v>
  </rv>
  <rv s="0">
    <fb>2.3199999999999998</fb>
    <v>2</v>
  </rv>
  <rv s="0">
    <fb>44501</fb>
    <v>0</v>
  </rv>
  <rv s="0">
    <fb>330.59</fb>
    <v>1</v>
  </rv>
  <rv s="0">
    <fb>155.93</fb>
    <v>1</v>
  </rv>
  <rv s="0">
    <fb>165.5</fb>
    <v>1</v>
  </rv>
  <rv s="0">
    <fb>2.2000000000000002</fb>
    <v>2</v>
  </rv>
  <rv s="0">
    <fb>44531</fb>
    <v>0</v>
  </rv>
  <rv s="0">
    <fb>336.32</fb>
    <v>1</v>
  </rv>
  <rv s="0">
    <fb>171.07</fb>
    <v>1</v>
  </rv>
  <rv s="0">
    <fb>170.96</fb>
    <v>1</v>
  </rv>
  <rv s="0">
    <fb>2.35</fb>
    <v>2</v>
  </rv>
  <rv s="0">
    <fb>44562</fb>
    <v>0</v>
  </rv>
  <rv s="0">
    <fb>310.98</fb>
    <v>1</v>
  </rv>
  <rv s="0">
    <fb>172.29</fb>
    <v>1</v>
  </rv>
  <rv s="0">
    <fb>168.09</fb>
    <v>1</v>
  </rv>
  <rv s="0">
    <fb>2.14</fb>
    <v>2</v>
  </rv>
  <rv s="0">
    <fb>44593</fb>
    <v>0</v>
  </rv>
  <rv s="0">
    <fb>298.79000000000002</fb>
    <v>1</v>
  </rv>
  <rv s="0">
    <fb>164.57</fb>
    <v>1</v>
  </rv>
  <rv s="0">
    <fb>2.44</fb>
    <v>2</v>
  </rv>
  <rv s="0">
    <fb>44621</fb>
    <v>0</v>
  </rv>
  <rv s="0">
    <fb>308.31</fb>
    <v>1</v>
  </rv>
  <rv s="0">
    <fb>177.23</fb>
    <v>1</v>
  </rv>
  <rv s="0">
    <fb>180.65</fb>
    <v>1</v>
  </rv>
  <rv s="0">
    <fb>44652</fb>
    <v>0</v>
  </rv>
  <rv s="0">
    <fb>277.52</fb>
    <v>1</v>
  </rv>
  <rv s="0">
    <fb>180.46</fb>
    <v>1</v>
  </rv>
  <rv s="0">
    <fb>176.91</fb>
    <v>1</v>
  </rv>
  <rv s="0">
    <fb>2.81</fb>
    <v>2</v>
  </rv>
  <rv s="0">
    <fb>44682</fb>
    <v>0</v>
  </rv>
  <rv s="0">
    <fb>271.87</fb>
    <v>1</v>
  </rv>
  <rv s="0">
    <fb>179.53</fb>
    <v>1</v>
  </rv>
  <rv s="0">
    <fb>171.14</fb>
    <v>1</v>
  </rv>
  <rv s="0">
    <fb>2.84</fb>
    <v>2</v>
  </rv>
  <rv s="0">
    <fb>44713</fb>
    <v>0</v>
  </rv>
  <rv s="0">
    <fb>256.83</fb>
    <v>1</v>
  </rv>
  <rv s="0">
    <fb>177.51</fb>
    <v>1</v>
  </rv>
  <rv s="0">
    <fb>168.46</fb>
    <v>1</v>
  </rv>
  <rv s="0">
    <fb>2.89</fb>
    <v>2</v>
  </rv>
  <rv s="0">
    <fb>44743</fb>
    <v>0</v>
  </rv>
  <rv s="0">
    <fb>280.74</fb>
    <v>1</v>
  </rv>
  <rv s="0">
    <fb>174.52</fb>
    <v>1</v>
  </rv>
  <rv s="0">
    <fb>164.1</fb>
    <v>1</v>
  </rv>
  <rv s="0">
    <fb>2.66</fb>
    <v>2</v>
  </rv>
  <rv s="0">
    <fb>44774</fb>
    <v>0</v>
  </rv>
  <rv s="0">
    <fb>261.47000000000003</fb>
    <v>1</v>
  </rv>
  <rv s="0">
    <fb>161.34</fb>
    <v>1</v>
  </rv>
  <rv s="0">
    <fb>159.27000000000001</fb>
    <v>1</v>
  </rv>
  <rv s="0">
    <fb>2.98</fb>
    <v>2</v>
  </rv>
  <rv s="0">
    <fb>44805</fb>
    <v>0</v>
  </rv>
  <rv s="0">
    <fb>232.9</fb>
    <v>1</v>
  </rv>
  <rv s="0">
    <fb>163.36000000000001</fb>
    <v>1</v>
  </rv>
  <rv s="0">
    <fb>154.66999999999999</fb>
    <v>1</v>
  </rv>
  <rv s="0">
    <fb>2.61</fb>
    <v>2</v>
  </rv>
  <rv s="0">
    <fb>44835</fb>
    <v>0</v>
  </rv>
  <rv s="0">
    <fb>232.13</fb>
    <v>1</v>
  </rv>
  <rv s="0">
    <fb>173.97</fb>
    <v>1</v>
  </rv>
  <rv s="0">
    <fb>151.91</fb>
    <v>1</v>
  </rv>
  <rv s="0">
    <fb>2.83</fb>
    <v>2</v>
  </rv>
  <rv s="0">
    <fb>44866</fb>
    <v>0</v>
  </rv>
  <rv s="0">
    <fb>255.14</fb>
    <v>1</v>
  </rv>
  <rv s="0">
    <fb>178</fb>
    <v>1</v>
  </rv>
  <rv s="0">
    <fb>164.81</fb>
    <v>1</v>
  </rv>
  <rv s="0">
    <fb>2.76</fb>
    <v>2</v>
  </rv>
  <rv s="0">
    <fb>44896</fb>
    <v>0</v>
  </rv>
  <rv s="0">
    <fb>239.82</fb>
    <v>1</v>
  </rv>
  <rv s="0">
    <fb>176.65</fb>
    <v>1</v>
  </rv>
  <rv s="0">
    <fb>169.64</fb>
    <v>1</v>
  </rv>
  <rv s="0">
    <fb>2.73</fb>
    <v>2</v>
  </rv>
  <rv s="0">
    <fb>44927</fb>
    <v>0</v>
  </rv>
  <rv s="0">
    <fb>247.81</fb>
    <v>1</v>
  </rv>
  <rv s="0">
    <fb>163.41999999999999</fb>
    <v>1</v>
  </rv>
  <rv s="0">
    <fb>179.41</fb>
    <v>1</v>
  </rv>
  <rv s="0">
    <fb>2.91</fb>
    <v>2</v>
  </rv>
  <rv s="0">
    <fb>44958</fb>
    <v>0</v>
  </rv>
  <rv s="0">
    <fb>249.42</fb>
    <v>1</v>
  </rv>
  <rv s="0">
    <fb>153.26</fb>
    <v>1</v>
  </rv>
  <rv s="0">
    <fb>169.78</fb>
    <v>1</v>
  </rv>
  <rv s="0">
    <fb>3.01</fb>
    <v>2</v>
  </rv>
  <rv s="0">
    <fb>44986</fb>
    <v>0</v>
  </rv>
  <rv s="0">
    <fb>288.3</fb>
    <v>1</v>
  </rv>
  <rv s="0">
    <fb>155</fb>
    <v>1</v>
  </rv>
  <rv s="0">
    <fb>183.22</fb>
    <v>1</v>
  </rv>
  <rv s="0">
    <fb>3.03</fb>
    <v>2</v>
  </rv>
  <rv s="0">
    <fb>45017</fb>
    <v>0</v>
  </rv>
  <rv s="0">
    <fb>307.26</fb>
    <v>1</v>
  </rv>
  <rv s="0">
    <fb>163.69999999999999</fb>
    <v>1</v>
  </rv>
  <rv s="0">
    <fb>184.8</fb>
    <v>1</v>
  </rv>
  <rv s="0">
    <fb>3.1</fb>
    <v>2</v>
  </rv>
  <rv s="0">
    <fb>45047</fb>
    <v>0</v>
  </rv>
  <rv s="0">
    <fb>328.39</fb>
    <v>1</v>
  </rv>
  <rv s="0">
    <fb>155.06</fb>
    <v>1</v>
  </rv>
  <rv s="0">
    <fb>182.32</fb>
    <v>1</v>
  </rv>
  <rv s="0">
    <fb>3.17</fb>
    <v>2</v>
  </rv>
  <rv s="0">
    <fb>45078</fb>
    <v>0</v>
  </rv>
  <rv s="0">
    <fb>340.54</fb>
    <v>1</v>
  </rv>
  <rv s="0">
    <fb>165.52</fb>
    <v>1</v>
  </rv>
  <rv s="0">
    <fb>178.27</fb>
    <v>1</v>
  </rv>
  <rv s="0">
    <fb>45108</fb>
    <v>0</v>
  </rv>
  <rv s="0">
    <fb>335.92</fb>
    <v>1</v>
  </rv>
  <rv s="0">
    <fb>167.53</fb>
    <v>1</v>
  </rv>
  <rv s="0">
    <fb>182.35</fb>
    <v>1</v>
  </rv>
  <rv s="0">
    <fb>3.15</fb>
    <v>2</v>
  </rv>
  <rv s="0">
    <fb>45139</fb>
    <v>0</v>
  </rv>
  <rv s="0">
    <fb>327.76</fb>
    <v>1</v>
  </rv>
  <rv s="0">
    <fb>161.68</fb>
    <v>1</v>
  </rv>
  <rv s="0">
    <fb>180.02</fb>
    <v>1</v>
  </rv>
  <rv s="0">
    <fb>3.12</fb>
    <v>2</v>
  </rv>
  <rv s="0">
    <fb>45170</fb>
    <v>0</v>
  </rv>
  <rv s="0">
    <fb>315.75</fb>
    <v>1</v>
  </rv>
  <rv s="0">
    <fb>155.75</fb>
    <v>1</v>
  </rv>
  <rv s="0">
    <fb>171.45</fb>
    <v>1</v>
  </rv>
  <rv s="0">
    <fb>3</fb>
    <v>2</v>
  </rv>
  <rv s="0">
    <fb>45200</fb>
    <v>0</v>
  </rv>
  <rv s="0">
    <fb>338.11</fb>
    <v>1</v>
  </rv>
  <rv s="0">
    <fb>148.34</fb>
    <v>1</v>
  </rv>
  <rv s="0">
    <fb>184.09</fb>
    <v>1</v>
  </rv>
  <rv s="0">
    <fb>45231</fb>
    <v>0</v>
  </rv>
  <rv s="0">
    <fb>378.91</fb>
    <v>1</v>
  </rv>
  <rv s="0">
    <fb>154.66</fb>
    <v>1</v>
  </rv>
  <rv s="0">
    <fb>188.75</fb>
    <v>1</v>
  </rv>
  <rv s="0">
    <fb>3.08</fb>
    <v>2</v>
  </rv>
  <rv s="0">
    <fb>45261</fb>
    <v>0</v>
  </rv>
  <rv s="0">
    <fb>376.04</fb>
    <v>1</v>
  </rv>
  <rv s="0">
    <fb>156.74</fb>
    <v>1</v>
  </rv>
  <rv s="0">
    <fb>191.17</fb>
    <v>1</v>
  </rv>
  <rv s="0">
    <fb>3.49</fb>
    <v>2</v>
  </rv>
  <rv s="0">
    <fb>45292</fb>
    <v>0</v>
  </rv>
  <rv s="0">
    <fb>397.58</fb>
    <v>1</v>
  </rv>
  <rv s="0">
    <fb>158.9</fb>
    <v>1</v>
  </rv>
  <rv s="0">
    <fb>188.45</fb>
    <v>1</v>
  </rv>
  <rv s="0">
    <fb>3.51</fb>
    <v>2</v>
  </rv>
  <rv s="0">
    <fb>45323</fb>
    <v>0</v>
  </rv>
  <rv s="0">
    <fb>413.64</fb>
    <v>1</v>
  </rv>
  <rv s="0">
    <fb>161.38</fb>
    <v>1</v>
  </rv>
  <rv s="0">
    <fb>189.31</fb>
    <v>1</v>
  </rv>
  <rv s="0">
    <fb>3.67</fb>
    <v>2</v>
  </rv>
  <rv s="0">
    <fb>45352</fb>
    <v>0</v>
  </rv>
  <rv s="0">
    <fb>420.72</fb>
    <v>1</v>
  </rv>
  <rv s="0">
    <fb>158.19</fb>
    <v>1</v>
  </rv>
  <rv s="0">
    <fb>205.72</fb>
    <v>1</v>
  </rv>
  <rv s="0">
    <fb>3.7</fb>
    <v>2</v>
  </rv>
  <rv s="0">
    <fb>45383</fb>
    <v>0</v>
  </rv>
  <rv s="0">
    <fb>389.33</fb>
    <v>1</v>
  </rv>
  <rv s="0">
    <fb>144.59</fb>
    <v>1</v>
  </rv>
  <rv s="0">
    <fb>211.87</fb>
    <v>1</v>
  </rv>
  <rv s="0">
    <fb>3.43</fb>
    <v>2</v>
  </rv>
  <rv s="0">
    <fb>45413</fb>
    <v>0</v>
  </rv>
  <rv s="0">
    <fb>415.13</fb>
    <v>1</v>
  </rv>
  <rv s="0">
    <fb>146.66999999999999</fb>
    <v>1</v>
  </rv>
  <rv s="0">
    <fb>215.3</fb>
    <v>1</v>
  </rv>
  <rv s="0">
    <fb>3.48</fb>
    <v>2</v>
  </rv>
  <rv s="0">
    <fb>45444</fb>
    <v>0</v>
  </rv>
  <rv s="0">
    <fb>446.95</fb>
    <v>1</v>
  </rv>
  <rv s="0">
    <fb>146.16</fb>
    <v>1</v>
  </rv>
  <rv s="0">
    <fb>215.01</fb>
    <v>1</v>
  </rv>
  <rv s="0">
    <fb>45474</fb>
    <v>0</v>
  </rv>
  <rv s="0">
    <fb>418.35</fb>
    <v>1</v>
  </rv>
  <rv s="0">
    <fb>157.85</fb>
    <v>1</v>
  </rv>
  <rv s="0">
    <fb>226.55</fb>
    <v>1</v>
  </rv>
  <rv s="0">
    <fb>3.26</fb>
    <v>2</v>
  </rv>
  <rv s="0">
    <fb>45505</fb>
    <v>0</v>
  </rv>
  <rv s="0">
    <fb>417.14</fb>
    <v>1</v>
  </rv>
  <rv s="0">
    <fb>165.86</fb>
    <v>1</v>
  </rv>
  <rv s="0">
    <fb>231.29</fb>
    <v>1</v>
  </rv>
  <rv s="0">
    <fb>2.88</fb>
    <v>2</v>
  </rv>
  <rv s="0">
    <fb>45536</fb>
    <v>0</v>
  </rv>
  <rv s="0">
    <fb>430.3</fb>
    <v>1</v>
  </rv>
  <rv s="0">
    <fb>162.06</fb>
    <v>1</v>
  </rv>
  <rv s="0">
    <fb>243.06</fb>
    <v>1</v>
  </rv>
  <rv s="0">
    <fb>2.93</fb>
    <v>2</v>
  </rv>
  <rv s="0">
    <fb>45566</fb>
    <v>0</v>
  </rv>
  <rv s="0">
    <fb>406.35</fb>
    <v>1</v>
  </rv>
  <rv s="0">
    <fb>159.86000000000001</fb>
    <v>1</v>
  </rv>
  <rv s="0">
    <fb>253.51</fb>
    <v>1</v>
  </rv>
  <rv s="0">
    <fb>2.63</fb>
    <v>2</v>
  </rv>
  <rv s="0">
    <fb>45597</fb>
    <v>0</v>
  </rv>
  <rv s="0">
    <fb>423.46</fb>
    <v>1</v>
  </rv>
  <rv s="0">
    <fb>155.01</fb>
    <v>1</v>
  </rv>
  <rv s="0">
    <fb>245.59</fb>
    <v>1</v>
  </rv>
  <rv s="0">
    <fb>45627</fb>
    <v>0</v>
  </rv>
  <rv s="0">
    <fb>421.5</fb>
    <v>1</v>
  </rv>
  <rv s="0">
    <fb>144.62</fb>
    <v>1</v>
  </rv>
  <rv s="0">
    <fb>242.13</fb>
    <v>1</v>
  </rv>
  <rv s="0">
    <fb>45658</fb>
    <v>0</v>
  </rv>
  <rv s="0">
    <fb>415.06</fb>
    <v>1</v>
  </rv>
  <rv s="0">
    <fb>152.15</fb>
    <v>1</v>
  </rv>
  <rv s="0">
    <fb>258.56</fb>
    <v>1</v>
  </rv>
  <rv s="0">
    <fb>2.6</fb>
    <v>2</v>
  </rv>
  <rv s="0">
    <fb>45689</fb>
    <v>0</v>
  </rv>
  <rv s="0">
    <fb>396.99</fb>
    <v>1</v>
  </rv>
  <rv s="0">
    <fb>165.02</fb>
    <v>1</v>
  </rv>
  <rv s="0">
    <fb>263.27</fb>
    <v>1</v>
  </rv>
  <rv s="0">
    <fb>1.7250000000000001</fb>
    <v>2</v>
  </rv>
  <rv s="0">
    <fb>45717</fb>
    <v>0</v>
  </rv>
  <rv s="0">
    <fb>375.39</fb>
    <v>1</v>
  </rv>
  <rv s="0">
    <fb>165.84</fb>
    <v>1</v>
  </rv>
  <rv s="0">
    <fb>288.14</fb>
    <v>1</v>
  </rv>
  <rv s="0">
    <fb>1.7050000000000001</fb>
    <v>2</v>
  </rv>
  <rv s="1">
    <v>3</v>
    <v>MSFT</v>
    <v>Monthly</v>
    <v>43891</v>
    <v>45747</v>
    <v>0</v>
    <v>1</v>
    <v>638789760000000000,638903011770248564,0</v>
    <v>0</v>
    <v>a1xzim</v>
    <v>XNAS:MSFT</v>
    <v>1</v>
  </rv>
  <rv s="1">
    <v>3</v>
    <v>JNJ</v>
    <v>Monthly</v>
    <v>43891</v>
    <v>45747</v>
    <v>0</v>
    <v>1</v>
    <v>638789760000000000,638903011806012658,0</v>
    <v>0</v>
    <v>a1w8ec</v>
    <v>XNYS:JNJ</v>
    <v>2</v>
  </rv>
  <rv s="1">
    <v>4</v>
    <v>VEA</v>
    <v>Monthly</v>
    <v>43891</v>
    <v>45747</v>
    <v>0</v>
    <v>1</v>
    <v>638789760000000000,638903011861790235,0</v>
    <v>0</v>
    <v>bh8hsm</v>
    <v>XASX:VEA</v>
    <v>3</v>
  </rv>
  <rv s="1">
    <v>3</v>
    <v>GLD</v>
    <v>Monthly</v>
    <v>43891</v>
    <v>45747</v>
    <v>0</v>
    <v>1</v>
    <v>638789760000000000,638903011820587977,0</v>
    <v>0</v>
    <v>a1twnm</v>
    <v>ARCX:GLD</v>
    <v>4</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5">
    <spb s="0">
      <v>1</v>
    </spb>
    <spb s="0">
      <v>2</v>
    </spb>
    <spb s="0">
      <v>3</v>
    </spb>
    <spb s="1">
      <v>1</v>
      <v>2</v>
    </spb>
    <spb s="1">
      <v>1</v>
      <v>3</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yyyy/mm/dd"/>
    </x:dxf>
    <x:dxf>
      <x:numFmt numFmtId="0" formatCode="General"/>
    </x:dxf>
  </dxfs>
  <richProperties>
    <rPr n="NumberFormat" t="s"/>
  </richProperties>
  <richStyles>
    <rSty dxfid="0"/>
    <rSty dxfid="1">
      <rpv i="0">_([$$-en-US]* #,##0.00_);_([$$-en-US]* (#,##0.00);_([$$-en-US]* "-"??_);_(@_)</rpv>
    </rSty>
    <rSty dxfid="1">
      <rpv i="0">_-[$$-en-AU]* #,##0.00_-;-[$$-en-AU]* #,##0.00_-;_-[$$-en-AU]*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4CC2-C582-49AD-A9C6-6B9E8AC4C2A2}">
  <dimension ref="B1:BE490"/>
  <sheetViews>
    <sheetView tabSelected="1" zoomScale="55" zoomScaleNormal="55" workbookViewId="0">
      <selection activeCell="R9" sqref="R9"/>
    </sheetView>
  </sheetViews>
  <sheetFormatPr defaultRowHeight="14.4" x14ac:dyDescent="0.3"/>
  <cols>
    <col min="1" max="1" width="15.21875" bestFit="1" customWidth="1"/>
    <col min="2" max="2" width="16.6640625" bestFit="1" customWidth="1"/>
    <col min="3" max="3" width="43.21875" customWidth="1"/>
    <col min="4" max="4" width="18.44140625" customWidth="1"/>
    <col min="5" max="5" width="16.88671875" bestFit="1" customWidth="1"/>
    <col min="6" max="6" width="16.109375" bestFit="1" customWidth="1"/>
    <col min="7" max="7" width="16.88671875" bestFit="1" customWidth="1"/>
    <col min="8" max="8" width="31" bestFit="1" customWidth="1"/>
    <col min="9" max="9" width="19.33203125" bestFit="1" customWidth="1"/>
    <col min="10" max="10" width="16.109375" bestFit="1" customWidth="1"/>
    <col min="11" max="11" width="17.5546875" bestFit="1" customWidth="1"/>
    <col min="12" max="12" width="22" bestFit="1" customWidth="1"/>
    <col min="13" max="13" width="16.88671875" bestFit="1" customWidth="1"/>
    <col min="14" max="14" width="16.44140625" bestFit="1" customWidth="1"/>
    <col min="15" max="15" width="16.109375" bestFit="1" customWidth="1"/>
    <col min="16" max="17" width="16.88671875" bestFit="1" customWidth="1"/>
    <col min="18" max="20" width="16.44140625" bestFit="1" customWidth="1"/>
    <col min="21" max="22" width="16.88671875" bestFit="1" customWidth="1"/>
    <col min="23" max="26" width="16.44140625" bestFit="1" customWidth="1"/>
    <col min="27" max="28" width="16.88671875" bestFit="1" customWidth="1"/>
    <col min="29" max="29" width="16.44140625" bestFit="1" customWidth="1"/>
    <col min="30" max="30" width="17.33203125" bestFit="1" customWidth="1"/>
    <col min="31" max="31" width="16.44140625" bestFit="1" customWidth="1"/>
    <col min="32" max="34" width="16.88671875" bestFit="1" customWidth="1"/>
    <col min="35" max="35" width="17.33203125" bestFit="1" customWidth="1"/>
    <col min="36" max="36" width="16.44140625" bestFit="1" customWidth="1"/>
    <col min="37" max="38" width="16.88671875" bestFit="1" customWidth="1"/>
    <col min="39" max="39" width="16.44140625" bestFit="1" customWidth="1"/>
    <col min="40" max="40" width="16.88671875" bestFit="1" customWidth="1"/>
    <col min="41" max="41" width="16.44140625" bestFit="1" customWidth="1"/>
    <col min="42" max="42" width="16.88671875" bestFit="1" customWidth="1"/>
    <col min="43" max="44" width="16.44140625" bestFit="1" customWidth="1"/>
    <col min="45" max="45" width="16.88671875" bestFit="1" customWidth="1"/>
    <col min="46" max="46" width="16.44140625" bestFit="1" customWidth="1"/>
    <col min="47" max="52" width="16.88671875" bestFit="1" customWidth="1"/>
    <col min="53" max="53" width="16.44140625" bestFit="1" customWidth="1"/>
    <col min="54" max="54" width="16.88671875" bestFit="1" customWidth="1"/>
    <col min="55" max="55" width="17.33203125" bestFit="1" customWidth="1"/>
    <col min="56" max="57" width="16.44140625" bestFit="1" customWidth="1"/>
  </cols>
  <sheetData>
    <row r="1" spans="2:16" x14ac:dyDescent="0.3">
      <c r="C1" t="s">
        <v>120</v>
      </c>
    </row>
    <row r="2" spans="2:16" x14ac:dyDescent="0.3">
      <c r="B2" s="8" t="s">
        <v>101</v>
      </c>
    </row>
    <row r="4" spans="2:16" ht="15" thickBot="1" x14ac:dyDescent="0.35">
      <c r="B4" s="2" t="str" cm="1">
        <f t="array" aca="1" ref="B4:C66" ca="1">_xlfn.STOCKHISTORY("MSFT",  DATE(2020,3,1), DATE(2025,3,1), 2, 2, 0, 1)</f>
        <v>XNAS:MSFT</v>
      </c>
      <c r="C4" s="2" t="str">
        <f ca="1"/>
        <v/>
      </c>
      <c r="D4" s="2"/>
      <c r="E4" s="3"/>
      <c r="F4" s="2" t="str" cm="1">
        <f t="array" aca="1" ref="F4:G66" ca="1">_xlfn.STOCKHISTORY("JNJ", DATE(2020,3,1),DATE(2025,3,1), 2, 2, 0, 1)</f>
        <v>XNYS:JNJ</v>
      </c>
      <c r="G4" s="2" t="str">
        <f ca="1"/>
        <v/>
      </c>
      <c r="H4" s="2"/>
      <c r="I4" s="3"/>
      <c r="J4" s="2" t="str" cm="1">
        <f t="array" aca="1" ref="J4:K66" ca="1">_xlfn.STOCKHISTORY("GLD", DATE(2020,3,1), DATE(2025,3,1), 2, 2, 0, 1)</f>
        <v>ARCX:GLD</v>
      </c>
      <c r="K4" s="2" t="str">
        <f ca="1"/>
        <v/>
      </c>
      <c r="L4" s="2"/>
      <c r="M4" s="3"/>
      <c r="N4" s="2" t="str" cm="1">
        <f t="array" aca="1" ref="N4:O66" ca="1">_xlfn.STOCKHISTORY("VEA", DATE(2020,3,1), DATE(2025,3,1), 2, 2, 0, 1)</f>
        <v>XASX:VEA</v>
      </c>
      <c r="O4" s="2" t="str">
        <f ca="1"/>
        <v/>
      </c>
      <c r="P4" s="2"/>
    </row>
    <row r="5" spans="2:16" x14ac:dyDescent="0.3">
      <c r="B5" t="str">
        <f ca="1"/>
        <v>Date</v>
      </c>
      <c r="C5" t="str">
        <f ca="1"/>
        <v>Close</v>
      </c>
      <c r="D5" t="s">
        <v>0</v>
      </c>
      <c r="E5" s="4"/>
      <c r="F5" t="str">
        <f ca="1"/>
        <v>Date</v>
      </c>
      <c r="G5" t="str">
        <f ca="1"/>
        <v>Close</v>
      </c>
      <c r="H5" t="s">
        <v>0</v>
      </c>
      <c r="I5" s="4"/>
      <c r="J5" t="str">
        <f ca="1"/>
        <v>Date</v>
      </c>
      <c r="K5" t="str">
        <f ca="1"/>
        <v>Close</v>
      </c>
      <c r="L5" t="s">
        <v>0</v>
      </c>
      <c r="M5" s="4"/>
      <c r="N5" t="str">
        <f ca="1"/>
        <v>Date</v>
      </c>
      <c r="O5" t="str">
        <f ca="1"/>
        <v>Close</v>
      </c>
      <c r="P5" t="s">
        <v>0</v>
      </c>
    </row>
    <row r="6" spans="2:16" x14ac:dyDescent="0.3">
      <c r="B6" vm="1">
        <f ca="1"/>
        <v>43891</v>
      </c>
      <c r="C6" vm="2">
        <f ca="1"/>
        <v>157.71</v>
      </c>
      <c r="E6" s="4"/>
      <c r="F6" vm="1">
        <f ca="1"/>
        <v>43891</v>
      </c>
      <c r="G6" vm="3">
        <f ca="1"/>
        <v>131.13</v>
      </c>
      <c r="I6" s="4"/>
      <c r="J6" vm="1">
        <f ca="1"/>
        <v>43891</v>
      </c>
      <c r="K6" vm="4">
        <f ca="1"/>
        <v>148.05000000000001</v>
      </c>
      <c r="M6" s="4"/>
      <c r="N6" vm="1">
        <f ca="1"/>
        <v>43891</v>
      </c>
      <c r="O6" vm="5">
        <f ca="1"/>
        <v>1.5587</v>
      </c>
    </row>
    <row r="7" spans="2:16" x14ac:dyDescent="0.3">
      <c r="B7" vm="6">
        <f ca="1"/>
        <v>43922</v>
      </c>
      <c r="C7" vm="7">
        <f ca="1"/>
        <v>179.21</v>
      </c>
      <c r="D7">
        <f t="shared" ref="D7:D38" ca="1" si="0">(C7/C6)-1</f>
        <v>0.13632616828355837</v>
      </c>
      <c r="E7" s="4"/>
      <c r="F7" vm="6">
        <f ca="1"/>
        <v>43922</v>
      </c>
      <c r="G7" vm="8">
        <f ca="1"/>
        <v>150.04</v>
      </c>
      <c r="H7">
        <f t="shared" ref="H7:H38" ca="1" si="1">(G7/G6)-1</f>
        <v>0.14420803782505898</v>
      </c>
      <c r="I7" s="4"/>
      <c r="J7" vm="6">
        <f ca="1"/>
        <v>43922</v>
      </c>
      <c r="K7" vm="9">
        <f ca="1"/>
        <v>158.80000000000001</v>
      </c>
      <c r="L7">
        <f t="shared" ref="L7:L38" ca="1" si="2">(K7/K6)-1</f>
        <v>7.2610604525498168E-2</v>
      </c>
      <c r="M7" s="4"/>
      <c r="N7" vm="6">
        <f ca="1"/>
        <v>43922</v>
      </c>
      <c r="O7" vm="10">
        <f ca="1"/>
        <v>1.7796000000000001</v>
      </c>
      <c r="P7">
        <f t="shared" ref="P7:P38" ca="1" si="3">(O7/O6)-1</f>
        <v>0.14172066465644462</v>
      </c>
    </row>
    <row r="8" spans="2:16" x14ac:dyDescent="0.3">
      <c r="B8" vm="11">
        <f ca="1"/>
        <v>43952</v>
      </c>
      <c r="C8" vm="12">
        <f ca="1"/>
        <v>183.25</v>
      </c>
      <c r="D8">
        <f t="shared" ca="1" si="0"/>
        <v>2.2543384855755688E-2</v>
      </c>
      <c r="E8" s="4"/>
      <c r="F8" vm="11">
        <f ca="1"/>
        <v>43952</v>
      </c>
      <c r="G8" vm="13">
        <f ca="1"/>
        <v>148.75</v>
      </c>
      <c r="H8">
        <f t="shared" ca="1" si="1"/>
        <v>-8.5977072780590857E-3</v>
      </c>
      <c r="I8" s="4"/>
      <c r="J8" vm="11">
        <f ca="1"/>
        <v>43952</v>
      </c>
      <c r="K8" vm="14">
        <f ca="1"/>
        <v>162.91</v>
      </c>
      <c r="L8">
        <f t="shared" ca="1" si="2"/>
        <v>2.5881612090679962E-2</v>
      </c>
      <c r="M8" s="4"/>
      <c r="N8" vm="11">
        <f ca="1"/>
        <v>43952</v>
      </c>
      <c r="O8" vm="15">
        <f ca="1"/>
        <v>2.0188999999999999</v>
      </c>
      <c r="P8">
        <f t="shared" ca="1" si="3"/>
        <v>0.13446841986963354</v>
      </c>
    </row>
    <row r="9" spans="2:16" x14ac:dyDescent="0.3">
      <c r="B9" vm="16">
        <f ca="1"/>
        <v>43983</v>
      </c>
      <c r="C9" vm="17">
        <f ca="1"/>
        <v>203.51</v>
      </c>
      <c r="D9">
        <f t="shared" ca="1" si="0"/>
        <v>0.11055934515688937</v>
      </c>
      <c r="E9" s="4"/>
      <c r="F9" vm="16">
        <f ca="1"/>
        <v>43983</v>
      </c>
      <c r="G9" vm="18">
        <f ca="1"/>
        <v>140.63</v>
      </c>
      <c r="H9">
        <f t="shared" ca="1" si="1"/>
        <v>-5.4588235294117715E-2</v>
      </c>
      <c r="I9" s="4"/>
      <c r="J9" vm="16">
        <f ca="1"/>
        <v>43983</v>
      </c>
      <c r="K9" vm="19">
        <f ca="1"/>
        <v>167.37</v>
      </c>
      <c r="L9">
        <f t="shared" ca="1" si="2"/>
        <v>2.7377079368976709E-2</v>
      </c>
      <c r="M9" s="4"/>
      <c r="N9" vm="16">
        <f ca="1"/>
        <v>43983</v>
      </c>
      <c r="O9" vm="20">
        <f ca="1"/>
        <v>2.2336999999999998</v>
      </c>
      <c r="P9">
        <f t="shared" ca="1" si="3"/>
        <v>0.10639457130120356</v>
      </c>
    </row>
    <row r="10" spans="2:16" x14ac:dyDescent="0.3">
      <c r="B10" vm="21">
        <f ca="1"/>
        <v>44013</v>
      </c>
      <c r="C10" vm="22">
        <f ca="1"/>
        <v>205.01</v>
      </c>
      <c r="D10">
        <f t="shared" ca="1" si="0"/>
        <v>7.3706451771411441E-3</v>
      </c>
      <c r="E10" s="4"/>
      <c r="F10" vm="21">
        <f ca="1"/>
        <v>44013</v>
      </c>
      <c r="G10" vm="23">
        <f ca="1"/>
        <v>145.76</v>
      </c>
      <c r="H10">
        <f t="shared" ca="1" si="1"/>
        <v>3.6478702979449551E-2</v>
      </c>
      <c r="I10" s="4"/>
      <c r="J10" vm="21">
        <f ca="1"/>
        <v>44013</v>
      </c>
      <c r="K10" vm="24">
        <f ca="1"/>
        <v>185.43</v>
      </c>
      <c r="L10">
        <f t="shared" ca="1" si="2"/>
        <v>0.10790464240903397</v>
      </c>
      <c r="M10" s="4"/>
      <c r="N10" vm="21">
        <f ca="1"/>
        <v>44013</v>
      </c>
      <c r="O10" vm="25">
        <f ca="1"/>
        <v>1.976</v>
      </c>
      <c r="P10">
        <f t="shared" ca="1" si="3"/>
        <v>-0.1153691185029323</v>
      </c>
    </row>
    <row r="11" spans="2:16" x14ac:dyDescent="0.3">
      <c r="B11" vm="26">
        <f ca="1"/>
        <v>44044</v>
      </c>
      <c r="C11" vm="27">
        <f ca="1"/>
        <v>225.53</v>
      </c>
      <c r="D11">
        <f t="shared" ca="1" si="0"/>
        <v>0.1000926784059315</v>
      </c>
      <c r="E11" s="4"/>
      <c r="F11" vm="26">
        <f ca="1"/>
        <v>44044</v>
      </c>
      <c r="G11" vm="28">
        <f ca="1"/>
        <v>153.41</v>
      </c>
      <c r="H11">
        <f t="shared" ca="1" si="1"/>
        <v>5.2483534577387525E-2</v>
      </c>
      <c r="I11" s="4"/>
      <c r="J11" vm="26">
        <f ca="1"/>
        <v>44044</v>
      </c>
      <c r="K11" vm="29">
        <f ca="1"/>
        <v>184.83</v>
      </c>
      <c r="L11">
        <f t="shared" ca="1" si="2"/>
        <v>-3.2357223750202335E-3</v>
      </c>
      <c r="M11" s="4"/>
      <c r="N11" vm="26">
        <f ca="1"/>
        <v>44044</v>
      </c>
      <c r="O11" vm="30">
        <f ca="1"/>
        <v>2.0619000000000001</v>
      </c>
      <c r="P11">
        <f t="shared" ca="1" si="3"/>
        <v>4.3471659919028349E-2</v>
      </c>
    </row>
    <row r="12" spans="2:16" x14ac:dyDescent="0.3">
      <c r="B12" vm="31">
        <f ca="1"/>
        <v>44075</v>
      </c>
      <c r="C12" vm="32">
        <f ca="1"/>
        <v>210.33</v>
      </c>
      <c r="D12">
        <f t="shared" ca="1" si="0"/>
        <v>-6.7396798652063938E-2</v>
      </c>
      <c r="E12" s="4"/>
      <c r="F12" vm="31">
        <f ca="1"/>
        <v>44075</v>
      </c>
      <c r="G12" vm="33">
        <f ca="1"/>
        <v>148.88</v>
      </c>
      <c r="H12">
        <f t="shared" ca="1" si="1"/>
        <v>-2.9528713903917647E-2</v>
      </c>
      <c r="I12" s="4"/>
      <c r="J12" vm="31">
        <f ca="1"/>
        <v>44075</v>
      </c>
      <c r="K12" vm="34">
        <f ca="1"/>
        <v>177.12</v>
      </c>
      <c r="L12">
        <f t="shared" ca="1" si="2"/>
        <v>-4.171400746632048E-2</v>
      </c>
      <c r="M12" s="4"/>
      <c r="N12" vm="31">
        <f ca="1"/>
        <v>44075</v>
      </c>
      <c r="O12" vm="35">
        <f ca="1"/>
        <v>1.9637</v>
      </c>
      <c r="P12">
        <f t="shared" ca="1" si="3"/>
        <v>-4.7625976041515083E-2</v>
      </c>
    </row>
    <row r="13" spans="2:16" x14ac:dyDescent="0.3">
      <c r="B13" vm="36">
        <f ca="1"/>
        <v>44105</v>
      </c>
      <c r="C13" vm="37">
        <f ca="1"/>
        <v>202.47</v>
      </c>
      <c r="D13">
        <f t="shared" ca="1" si="0"/>
        <v>-3.7369847382684451E-2</v>
      </c>
      <c r="E13" s="4"/>
      <c r="F13" vm="36">
        <f ca="1"/>
        <v>44105</v>
      </c>
      <c r="G13" vm="38">
        <f ca="1"/>
        <v>137.11000000000001</v>
      </c>
      <c r="H13">
        <f t="shared" ca="1" si="1"/>
        <v>-7.9056958624395324E-2</v>
      </c>
      <c r="I13" s="4"/>
      <c r="J13" vm="36">
        <f ca="1"/>
        <v>44105</v>
      </c>
      <c r="K13" vm="39">
        <f ca="1"/>
        <v>176.2</v>
      </c>
      <c r="L13">
        <f t="shared" ca="1" si="2"/>
        <v>-5.1942186088528297E-3</v>
      </c>
      <c r="M13" s="4"/>
      <c r="N13" vm="36">
        <f ca="1"/>
        <v>44105</v>
      </c>
      <c r="O13" vm="40">
        <f ca="1"/>
        <v>1.7371000000000001</v>
      </c>
      <c r="P13">
        <f t="shared" ca="1" si="3"/>
        <v>-0.11539440851453886</v>
      </c>
    </row>
    <row r="14" spans="2:16" x14ac:dyDescent="0.3">
      <c r="B14" vm="41">
        <f ca="1"/>
        <v>44136</v>
      </c>
      <c r="C14" vm="42">
        <f ca="1"/>
        <v>214.07</v>
      </c>
      <c r="D14">
        <f t="shared" ca="1" si="0"/>
        <v>5.7292438385933675E-2</v>
      </c>
      <c r="E14" s="4"/>
      <c r="F14" vm="41">
        <f ca="1"/>
        <v>44136</v>
      </c>
      <c r="G14" vm="43">
        <f ca="1"/>
        <v>144.68</v>
      </c>
      <c r="H14">
        <f t="shared" ca="1" si="1"/>
        <v>5.5211144336663853E-2</v>
      </c>
      <c r="I14" s="4"/>
      <c r="J14" vm="41">
        <f ca="1"/>
        <v>44136</v>
      </c>
      <c r="K14" vm="44">
        <f ca="1"/>
        <v>166.67</v>
      </c>
      <c r="L14">
        <f t="shared" ca="1" si="2"/>
        <v>-5.4086265607264483E-2</v>
      </c>
      <c r="M14" s="4"/>
      <c r="N14" vm="41">
        <f ca="1"/>
        <v>44136</v>
      </c>
      <c r="O14" vm="45">
        <f ca="1"/>
        <v>1.9947999999999999</v>
      </c>
      <c r="P14">
        <f t="shared" ca="1" si="3"/>
        <v>0.14835069944159796</v>
      </c>
    </row>
    <row r="15" spans="2:16" x14ac:dyDescent="0.3">
      <c r="B15" vm="46">
        <f ca="1"/>
        <v>44166</v>
      </c>
      <c r="C15" vm="47">
        <f ca="1"/>
        <v>222.42</v>
      </c>
      <c r="D15">
        <f t="shared" ca="1" si="0"/>
        <v>3.9005932638856322E-2</v>
      </c>
      <c r="E15" s="4"/>
      <c r="F15" vm="46">
        <f ca="1"/>
        <v>44166</v>
      </c>
      <c r="G15" vm="48">
        <f ca="1"/>
        <v>157.38</v>
      </c>
      <c r="H15">
        <f t="shared" ca="1" si="1"/>
        <v>8.7779928117224237E-2</v>
      </c>
      <c r="I15" s="4"/>
      <c r="J15" vm="46">
        <f ca="1"/>
        <v>44166</v>
      </c>
      <c r="K15" vm="49">
        <f ca="1"/>
        <v>178.36</v>
      </c>
      <c r="L15">
        <f t="shared" ca="1" si="2"/>
        <v>7.013859722805571E-2</v>
      </c>
      <c r="M15" s="4"/>
      <c r="N15" vm="46">
        <f ca="1"/>
        <v>44166</v>
      </c>
      <c r="O15" vm="50">
        <f ca="1"/>
        <v>1.9691000000000001</v>
      </c>
      <c r="P15">
        <f t="shared" ca="1" si="3"/>
        <v>-1.2883497092440299E-2</v>
      </c>
    </row>
    <row r="16" spans="2:16" x14ac:dyDescent="0.3">
      <c r="B16" vm="51">
        <f ca="1"/>
        <v>44197</v>
      </c>
      <c r="C16" vm="52">
        <f ca="1"/>
        <v>231.96</v>
      </c>
      <c r="D16">
        <f t="shared" ca="1" si="0"/>
        <v>4.289182627461563E-2</v>
      </c>
      <c r="E16" s="4"/>
      <c r="F16" vm="51">
        <f ca="1"/>
        <v>44197</v>
      </c>
      <c r="G16" vm="53">
        <f ca="1"/>
        <v>163.13</v>
      </c>
      <c r="H16">
        <f t="shared" ca="1" si="1"/>
        <v>3.6535773287584172E-2</v>
      </c>
      <c r="I16" s="4"/>
      <c r="J16" vm="51">
        <f ca="1"/>
        <v>44197</v>
      </c>
      <c r="K16" vm="54">
        <f ca="1"/>
        <v>172.61</v>
      </c>
      <c r="L16">
        <f t="shared" ca="1" si="2"/>
        <v>-3.2238169993272003E-2</v>
      </c>
      <c r="M16" s="4"/>
      <c r="N16" vm="51">
        <f ca="1"/>
        <v>44197</v>
      </c>
      <c r="O16" vm="55">
        <f ca="1"/>
        <v>1.7989999999999999</v>
      </c>
      <c r="P16">
        <f t="shared" ca="1" si="3"/>
        <v>-8.6384642730181316E-2</v>
      </c>
    </row>
    <row r="17" spans="2:16" x14ac:dyDescent="0.3">
      <c r="B17" vm="56">
        <f ca="1"/>
        <v>44228</v>
      </c>
      <c r="C17" vm="57">
        <f ca="1"/>
        <v>232.38</v>
      </c>
      <c r="D17">
        <f t="shared" ca="1" si="0"/>
        <v>1.8106570098292973E-3</v>
      </c>
      <c r="E17" s="4"/>
      <c r="F17" vm="56">
        <f ca="1"/>
        <v>44228</v>
      </c>
      <c r="G17" vm="58">
        <f ca="1"/>
        <v>158.46</v>
      </c>
      <c r="H17">
        <f t="shared" ca="1" si="1"/>
        <v>-2.8627475019922688E-2</v>
      </c>
      <c r="I17" s="4"/>
      <c r="J17" vm="56">
        <f ca="1"/>
        <v>44228</v>
      </c>
      <c r="K17" vm="59">
        <f ca="1"/>
        <v>161.81</v>
      </c>
      <c r="L17">
        <f t="shared" ca="1" si="2"/>
        <v>-6.2568796709344787E-2</v>
      </c>
      <c r="M17" s="4"/>
      <c r="N17" vm="56">
        <f ca="1"/>
        <v>44228</v>
      </c>
      <c r="O17" vm="60">
        <f ca="1"/>
        <v>1.7164999999999999</v>
      </c>
      <c r="P17">
        <f t="shared" ca="1" si="3"/>
        <v>-4.5858810450250198E-2</v>
      </c>
    </row>
    <row r="18" spans="2:16" x14ac:dyDescent="0.3">
      <c r="B18" vm="61">
        <f ca="1"/>
        <v>44256</v>
      </c>
      <c r="C18" vm="62">
        <f ca="1"/>
        <v>235.77</v>
      </c>
      <c r="D18">
        <f t="shared" ca="1" si="0"/>
        <v>1.4588174541698917E-2</v>
      </c>
      <c r="E18" s="4"/>
      <c r="F18" vm="61">
        <f ca="1"/>
        <v>44256</v>
      </c>
      <c r="G18" vm="63">
        <f ca="1"/>
        <v>164.35</v>
      </c>
      <c r="H18">
        <f t="shared" ca="1" si="1"/>
        <v>3.7170263788968816E-2</v>
      </c>
      <c r="I18" s="4"/>
      <c r="J18" vm="61">
        <f ca="1"/>
        <v>44256</v>
      </c>
      <c r="K18" vm="64">
        <f ca="1"/>
        <v>159.96</v>
      </c>
      <c r="L18">
        <f t="shared" ca="1" si="2"/>
        <v>-1.1433162350905302E-2</v>
      </c>
      <c r="M18" s="4"/>
      <c r="N18" vm="61">
        <f ca="1"/>
        <v>44256</v>
      </c>
      <c r="O18" vm="65">
        <f ca="1"/>
        <v>1.732</v>
      </c>
      <c r="P18">
        <f t="shared" ca="1" si="3"/>
        <v>9.0300029129042336E-3</v>
      </c>
    </row>
    <row r="19" spans="2:16" x14ac:dyDescent="0.3">
      <c r="B19" vm="66">
        <f ca="1"/>
        <v>44287</v>
      </c>
      <c r="C19" vm="67">
        <f ca="1"/>
        <v>252.18</v>
      </c>
      <c r="D19">
        <f t="shared" ca="1" si="0"/>
        <v>6.9601730500063574E-2</v>
      </c>
      <c r="E19" s="4"/>
      <c r="F19" vm="66">
        <f ca="1"/>
        <v>44287</v>
      </c>
      <c r="G19" vm="68">
        <f ca="1"/>
        <v>162.72999999999999</v>
      </c>
      <c r="H19">
        <f t="shared" ca="1" si="1"/>
        <v>-9.8570124733800002E-3</v>
      </c>
      <c r="I19" s="4"/>
      <c r="J19" vm="66">
        <f ca="1"/>
        <v>44287</v>
      </c>
      <c r="K19" vm="69">
        <f ca="1"/>
        <v>165.66</v>
      </c>
      <c r="L19">
        <f t="shared" ca="1" si="2"/>
        <v>3.5633908477119114E-2</v>
      </c>
      <c r="M19" s="4"/>
      <c r="N19" vm="66">
        <f ca="1"/>
        <v>44287</v>
      </c>
      <c r="O19" vm="70">
        <f ca="1"/>
        <v>2.0154999999999998</v>
      </c>
      <c r="P19">
        <f t="shared" ca="1" si="3"/>
        <v>0.1636836027713624</v>
      </c>
    </row>
    <row r="20" spans="2:16" x14ac:dyDescent="0.3">
      <c r="B20" vm="71">
        <f ca="1"/>
        <v>44317</v>
      </c>
      <c r="C20" vm="72">
        <f ca="1"/>
        <v>249.68</v>
      </c>
      <c r="D20">
        <f t="shared" ca="1" si="0"/>
        <v>-9.9135538107700816E-3</v>
      </c>
      <c r="E20" s="4"/>
      <c r="F20" vm="71">
        <f ca="1"/>
        <v>44317</v>
      </c>
      <c r="G20" vm="73">
        <f ca="1"/>
        <v>169.25</v>
      </c>
      <c r="H20">
        <f t="shared" ca="1" si="1"/>
        <v>4.0066367602777708E-2</v>
      </c>
      <c r="I20" s="4"/>
      <c r="J20" vm="71">
        <f ca="1"/>
        <v>44317</v>
      </c>
      <c r="K20" vm="74">
        <f ca="1"/>
        <v>178.38</v>
      </c>
      <c r="L20">
        <f t="shared" ca="1" si="2"/>
        <v>7.6783773994929305E-2</v>
      </c>
      <c r="M20" s="4"/>
      <c r="N20" vm="71">
        <f ca="1"/>
        <v>44317</v>
      </c>
      <c r="O20" vm="75">
        <f ca="1"/>
        <v>2.0928</v>
      </c>
      <c r="P20">
        <f t="shared" ca="1" si="3"/>
        <v>3.8352766063011634E-2</v>
      </c>
    </row>
    <row r="21" spans="2:16" x14ac:dyDescent="0.3">
      <c r="B21" vm="76">
        <f ca="1"/>
        <v>44348</v>
      </c>
      <c r="C21" vm="77">
        <f ca="1"/>
        <v>270.89999999999998</v>
      </c>
      <c r="D21">
        <f t="shared" ca="1" si="0"/>
        <v>8.4988785645626175E-2</v>
      </c>
      <c r="E21" s="4"/>
      <c r="F21" vm="76">
        <f ca="1"/>
        <v>44348</v>
      </c>
      <c r="G21" vm="78">
        <f ca="1"/>
        <v>164.74</v>
      </c>
      <c r="H21">
        <f t="shared" ca="1" si="1"/>
        <v>-2.6646971935007313E-2</v>
      </c>
      <c r="I21" s="4"/>
      <c r="J21" vm="76">
        <f ca="1"/>
        <v>44348</v>
      </c>
      <c r="K21" vm="79">
        <f ca="1"/>
        <v>165.63</v>
      </c>
      <c r="L21">
        <f t="shared" ca="1" si="2"/>
        <v>-7.1476622939791512E-2</v>
      </c>
      <c r="M21" s="4"/>
      <c r="N21" vm="76">
        <f ca="1"/>
        <v>44348</v>
      </c>
      <c r="O21" vm="80">
        <f ca="1"/>
        <v>1.9897</v>
      </c>
      <c r="P21">
        <f t="shared" ca="1" si="3"/>
        <v>-4.9264143730886834E-2</v>
      </c>
    </row>
    <row r="22" spans="2:16" x14ac:dyDescent="0.3">
      <c r="B22" vm="81">
        <f ca="1"/>
        <v>44378</v>
      </c>
      <c r="C22" vm="82">
        <f ca="1"/>
        <v>284.91000000000003</v>
      </c>
      <c r="D22">
        <f t="shared" ca="1" si="0"/>
        <v>5.1716500553710132E-2</v>
      </c>
      <c r="E22" s="4"/>
      <c r="F22" vm="81">
        <f ca="1"/>
        <v>44378</v>
      </c>
      <c r="G22" vm="83">
        <f ca="1"/>
        <v>172.2</v>
      </c>
      <c r="H22">
        <f t="shared" ca="1" si="1"/>
        <v>4.5283476994051108E-2</v>
      </c>
      <c r="I22" s="4"/>
      <c r="J22" vm="81">
        <f ca="1"/>
        <v>44378</v>
      </c>
      <c r="K22" vm="84">
        <f ca="1"/>
        <v>169.82</v>
      </c>
      <c r="L22">
        <f t="shared" ca="1" si="2"/>
        <v>2.5297349513976997E-2</v>
      </c>
      <c r="M22" s="4"/>
      <c r="N22" vm="81">
        <f ca="1"/>
        <v>44378</v>
      </c>
      <c r="O22" vm="85">
        <f ca="1"/>
        <v>2.1236999999999999</v>
      </c>
      <c r="P22">
        <f t="shared" ca="1" si="3"/>
        <v>6.7346836206463312E-2</v>
      </c>
    </row>
    <row r="23" spans="2:16" x14ac:dyDescent="0.3">
      <c r="B23" vm="86">
        <f ca="1"/>
        <v>44409</v>
      </c>
      <c r="C23" vm="87">
        <f ca="1"/>
        <v>301.88</v>
      </c>
      <c r="D23">
        <f t="shared" ca="1" si="0"/>
        <v>5.9562668912990002E-2</v>
      </c>
      <c r="E23" s="4"/>
      <c r="F23" vm="86">
        <f ca="1"/>
        <v>44409</v>
      </c>
      <c r="G23" vm="88">
        <f ca="1"/>
        <v>173.13</v>
      </c>
      <c r="H23">
        <f t="shared" ca="1" si="1"/>
        <v>5.4006968641115982E-3</v>
      </c>
      <c r="I23" s="4"/>
      <c r="J23" vm="86">
        <f ca="1"/>
        <v>44409</v>
      </c>
      <c r="K23" vm="89">
        <f ca="1"/>
        <v>169.69</v>
      </c>
      <c r="L23">
        <f t="shared" ca="1" si="2"/>
        <v>-7.6551642916022899E-4</v>
      </c>
      <c r="M23" s="4"/>
      <c r="N23" vm="86">
        <f ca="1"/>
        <v>44409</v>
      </c>
      <c r="O23" vm="90">
        <f ca="1"/>
        <v>2.2061999999999999</v>
      </c>
      <c r="P23">
        <f t="shared" ca="1" si="3"/>
        <v>3.8847294815651967E-2</v>
      </c>
    </row>
    <row r="24" spans="2:16" x14ac:dyDescent="0.3">
      <c r="B24" vm="91">
        <f ca="1"/>
        <v>44440</v>
      </c>
      <c r="C24" vm="92">
        <f ca="1"/>
        <v>281.92</v>
      </c>
      <c r="D24">
        <f t="shared" ca="1" si="0"/>
        <v>-6.6118987677222685E-2</v>
      </c>
      <c r="E24" s="4"/>
      <c r="F24" vm="91">
        <f ca="1"/>
        <v>44440</v>
      </c>
      <c r="G24" vm="93">
        <f ca="1"/>
        <v>161.5</v>
      </c>
      <c r="H24">
        <f t="shared" ca="1" si="1"/>
        <v>-6.7174955235949851E-2</v>
      </c>
      <c r="I24" s="4"/>
      <c r="J24" vm="91">
        <f ca="1"/>
        <v>44440</v>
      </c>
      <c r="K24" vm="94">
        <f ca="1"/>
        <v>164.22</v>
      </c>
      <c r="L24">
        <f t="shared" ca="1" si="2"/>
        <v>-3.2235252519299928E-2</v>
      </c>
      <c r="M24" s="4"/>
      <c r="N24" vm="91">
        <f ca="1"/>
        <v>44440</v>
      </c>
      <c r="O24" vm="95">
        <f ca="1"/>
        <v>2.4535999999999998</v>
      </c>
      <c r="P24">
        <f t="shared" ca="1" si="3"/>
        <v>0.11213851871997083</v>
      </c>
    </row>
    <row r="25" spans="2:16" x14ac:dyDescent="0.3">
      <c r="B25" vm="96">
        <f ca="1"/>
        <v>44470</v>
      </c>
      <c r="C25" vm="97">
        <f ca="1"/>
        <v>331.62</v>
      </c>
      <c r="D25">
        <f t="shared" ca="1" si="0"/>
        <v>0.1762911464245176</v>
      </c>
      <c r="E25" s="4"/>
      <c r="F25" vm="96">
        <f ca="1"/>
        <v>44470</v>
      </c>
      <c r="G25" vm="98">
        <f ca="1"/>
        <v>162.88</v>
      </c>
      <c r="H25">
        <f t="shared" ca="1" si="1"/>
        <v>8.544891640866803E-3</v>
      </c>
      <c r="I25" s="4"/>
      <c r="J25" vm="96">
        <f ca="1"/>
        <v>44470</v>
      </c>
      <c r="K25" vm="99">
        <f ca="1"/>
        <v>166.65</v>
      </c>
      <c r="L25">
        <f t="shared" ca="1" si="2"/>
        <v>1.479722323712096E-2</v>
      </c>
      <c r="M25" s="4"/>
      <c r="N25" vm="96">
        <f ca="1"/>
        <v>44470</v>
      </c>
      <c r="O25" vm="100">
        <f ca="1"/>
        <v>2.3199999999999998</v>
      </c>
      <c r="P25">
        <f t="shared" ca="1" si="3"/>
        <v>-5.4450603195304814E-2</v>
      </c>
    </row>
    <row r="26" spans="2:16" x14ac:dyDescent="0.3">
      <c r="B26" vm="101">
        <f ca="1"/>
        <v>44501</v>
      </c>
      <c r="C26" vm="102">
        <f ca="1"/>
        <v>330.59</v>
      </c>
      <c r="D26">
        <f t="shared" ca="1" si="0"/>
        <v>-3.105964658344007E-3</v>
      </c>
      <c r="E26" s="4"/>
      <c r="F26" vm="101">
        <f ca="1"/>
        <v>44501</v>
      </c>
      <c r="G26" vm="103">
        <f ca="1"/>
        <v>155.93</v>
      </c>
      <c r="H26">
        <f t="shared" ca="1" si="1"/>
        <v>-4.2669449901768131E-2</v>
      </c>
      <c r="I26" s="4"/>
      <c r="J26" vm="101">
        <f ca="1"/>
        <v>44501</v>
      </c>
      <c r="K26" vm="104">
        <f ca="1"/>
        <v>165.5</v>
      </c>
      <c r="L26">
        <f t="shared" ca="1" si="2"/>
        <v>-6.9006900690069539E-3</v>
      </c>
      <c r="M26" s="4"/>
      <c r="N26" vm="101">
        <f ca="1"/>
        <v>44501</v>
      </c>
      <c r="O26" vm="105">
        <f ca="1"/>
        <v>2.2000000000000002</v>
      </c>
      <c r="P26">
        <f t="shared" ca="1" si="3"/>
        <v>-5.1724137931034364E-2</v>
      </c>
    </row>
    <row r="27" spans="2:16" x14ac:dyDescent="0.3">
      <c r="B27" vm="106">
        <f ca="1"/>
        <v>44531</v>
      </c>
      <c r="C27" vm="107">
        <f ca="1"/>
        <v>336.32</v>
      </c>
      <c r="D27">
        <f t="shared" ca="1" si="0"/>
        <v>1.7332647690492919E-2</v>
      </c>
      <c r="E27" s="4"/>
      <c r="F27" vm="106">
        <f ca="1"/>
        <v>44531</v>
      </c>
      <c r="G27" vm="108">
        <f ca="1"/>
        <v>171.07</v>
      </c>
      <c r="H27">
        <f t="shared" ca="1" si="1"/>
        <v>9.7094850253318654E-2</v>
      </c>
      <c r="I27" s="4"/>
      <c r="J27" vm="106">
        <f ca="1"/>
        <v>44531</v>
      </c>
      <c r="K27" vm="109">
        <f ca="1"/>
        <v>170.96</v>
      </c>
      <c r="L27">
        <f t="shared" ca="1" si="2"/>
        <v>3.2990936555891359E-2</v>
      </c>
      <c r="M27" s="4"/>
      <c r="N27" vm="106">
        <f ca="1"/>
        <v>44531</v>
      </c>
      <c r="O27" vm="110">
        <f ca="1"/>
        <v>2.35</v>
      </c>
      <c r="P27">
        <f t="shared" ca="1" si="3"/>
        <v>6.8181818181818121E-2</v>
      </c>
    </row>
    <row r="28" spans="2:16" x14ac:dyDescent="0.3">
      <c r="B28" vm="111">
        <f ca="1"/>
        <v>44562</v>
      </c>
      <c r="C28" vm="112">
        <f ca="1"/>
        <v>310.98</v>
      </c>
      <c r="D28">
        <f t="shared" ca="1" si="0"/>
        <v>-7.5344909609895261E-2</v>
      </c>
      <c r="E28" s="4"/>
      <c r="F28" vm="111">
        <f ca="1"/>
        <v>44562</v>
      </c>
      <c r="G28" vm="113">
        <f ca="1"/>
        <v>172.29</v>
      </c>
      <c r="H28">
        <f t="shared" ca="1" si="1"/>
        <v>7.1315835622844936E-3</v>
      </c>
      <c r="I28" s="4"/>
      <c r="J28" vm="111">
        <f ca="1"/>
        <v>44562</v>
      </c>
      <c r="K28" vm="114">
        <f ca="1"/>
        <v>168.09</v>
      </c>
      <c r="L28">
        <f t="shared" ca="1" si="2"/>
        <v>-1.6787552643893311E-2</v>
      </c>
      <c r="M28" s="4"/>
      <c r="N28" vm="111">
        <f ca="1"/>
        <v>44562</v>
      </c>
      <c r="O28" vm="115">
        <f ca="1"/>
        <v>2.14</v>
      </c>
      <c r="P28">
        <f t="shared" ca="1" si="3"/>
        <v>-8.9361702127659592E-2</v>
      </c>
    </row>
    <row r="29" spans="2:16" x14ac:dyDescent="0.3">
      <c r="B29" vm="116">
        <f ca="1"/>
        <v>44593</v>
      </c>
      <c r="C29" vm="117">
        <f ca="1"/>
        <v>298.79000000000002</v>
      </c>
      <c r="D29">
        <f t="shared" ca="1" si="0"/>
        <v>-3.9198662293395081E-2</v>
      </c>
      <c r="E29" s="4"/>
      <c r="F29" vm="116">
        <f ca="1"/>
        <v>44593</v>
      </c>
      <c r="G29" vm="118">
        <f ca="1"/>
        <v>164.57</v>
      </c>
      <c r="H29">
        <f t="shared" ca="1" si="1"/>
        <v>-4.4808172267688184E-2</v>
      </c>
      <c r="I29" s="4"/>
      <c r="J29" vm="116">
        <f ca="1"/>
        <v>44593</v>
      </c>
      <c r="K29" vm="74">
        <f ca="1"/>
        <v>178.38</v>
      </c>
      <c r="L29">
        <f t="shared" ca="1" si="2"/>
        <v>6.1217205068713199E-2</v>
      </c>
      <c r="M29" s="4"/>
      <c r="N29" vm="116">
        <f ca="1"/>
        <v>44593</v>
      </c>
      <c r="O29" vm="119">
        <f ca="1"/>
        <v>2.44</v>
      </c>
      <c r="P29">
        <f t="shared" ca="1" si="3"/>
        <v>0.14018691588785037</v>
      </c>
    </row>
    <row r="30" spans="2:16" x14ac:dyDescent="0.3">
      <c r="B30" vm="120">
        <f ca="1"/>
        <v>44621</v>
      </c>
      <c r="C30" vm="121">
        <f ca="1"/>
        <v>308.31</v>
      </c>
      <c r="D30">
        <f t="shared" ca="1" si="0"/>
        <v>3.1861842765822157E-2</v>
      </c>
      <c r="E30" s="4"/>
      <c r="F30" vm="120">
        <f ca="1"/>
        <v>44621</v>
      </c>
      <c r="G30" vm="122">
        <f ca="1"/>
        <v>177.23</v>
      </c>
      <c r="H30">
        <f t="shared" ca="1" si="1"/>
        <v>7.6927751108950559E-2</v>
      </c>
      <c r="I30" s="4"/>
      <c r="J30" vm="120">
        <f ca="1"/>
        <v>44621</v>
      </c>
      <c r="K30" vm="123">
        <f ca="1"/>
        <v>180.65</v>
      </c>
      <c r="L30">
        <f t="shared" ca="1" si="2"/>
        <v>1.27256418881041E-2</v>
      </c>
      <c r="M30" s="4"/>
      <c r="N30" vm="120">
        <f ca="1"/>
        <v>44621</v>
      </c>
      <c r="O30" vm="110">
        <f ca="1"/>
        <v>2.35</v>
      </c>
      <c r="P30">
        <f t="shared" ca="1" si="3"/>
        <v>-3.688524590163933E-2</v>
      </c>
    </row>
    <row r="31" spans="2:16" x14ac:dyDescent="0.3">
      <c r="B31" vm="124">
        <f ca="1"/>
        <v>44652</v>
      </c>
      <c r="C31" vm="125">
        <f ca="1"/>
        <v>277.52</v>
      </c>
      <c r="D31">
        <f t="shared" ca="1" si="0"/>
        <v>-9.9867016963445909E-2</v>
      </c>
      <c r="E31" s="4"/>
      <c r="F31" vm="124">
        <f ca="1"/>
        <v>44652</v>
      </c>
      <c r="G31" vm="126">
        <f ca="1"/>
        <v>180.46</v>
      </c>
      <c r="H31">
        <f t="shared" ca="1" si="1"/>
        <v>1.8224905490041188E-2</v>
      </c>
      <c r="I31" s="4"/>
      <c r="J31" vm="124">
        <f ca="1"/>
        <v>44652</v>
      </c>
      <c r="K31" vm="127">
        <f ca="1"/>
        <v>176.91</v>
      </c>
      <c r="L31">
        <f t="shared" ca="1" si="2"/>
        <v>-2.0703016883476422E-2</v>
      </c>
      <c r="M31" s="4"/>
      <c r="N31" vm="124">
        <f ca="1"/>
        <v>44652</v>
      </c>
      <c r="O31" vm="128">
        <f ca="1"/>
        <v>2.81</v>
      </c>
      <c r="P31">
        <f t="shared" ca="1" si="3"/>
        <v>0.19574468085106389</v>
      </c>
    </row>
    <row r="32" spans="2:16" x14ac:dyDescent="0.3">
      <c r="B32" vm="129">
        <f ca="1"/>
        <v>44682</v>
      </c>
      <c r="C32" vm="130">
        <f ca="1"/>
        <v>271.87</v>
      </c>
      <c r="D32">
        <f t="shared" ca="1" si="0"/>
        <v>-2.0358893052752847E-2</v>
      </c>
      <c r="E32" s="4"/>
      <c r="F32" vm="129">
        <f ca="1"/>
        <v>44682</v>
      </c>
      <c r="G32" vm="131">
        <f ca="1"/>
        <v>179.53</v>
      </c>
      <c r="H32">
        <f t="shared" ca="1" si="1"/>
        <v>-5.1534966197496201E-3</v>
      </c>
      <c r="I32" s="4"/>
      <c r="J32" vm="129">
        <f ca="1"/>
        <v>44682</v>
      </c>
      <c r="K32" vm="132">
        <f ca="1"/>
        <v>171.14</v>
      </c>
      <c r="L32">
        <f t="shared" ca="1" si="2"/>
        <v>-3.2615454185744186E-2</v>
      </c>
      <c r="M32" s="4"/>
      <c r="N32" vm="129">
        <f ca="1"/>
        <v>44682</v>
      </c>
      <c r="O32" vm="133">
        <f ca="1"/>
        <v>2.84</v>
      </c>
      <c r="P32">
        <f t="shared" ca="1" si="3"/>
        <v>1.0676156583629748E-2</v>
      </c>
    </row>
    <row r="33" spans="2:16" x14ac:dyDescent="0.3">
      <c r="B33" vm="134">
        <f ca="1"/>
        <v>44713</v>
      </c>
      <c r="C33" vm="135">
        <f ca="1"/>
        <v>256.83</v>
      </c>
      <c r="D33">
        <f t="shared" ca="1" si="0"/>
        <v>-5.5320557619450539E-2</v>
      </c>
      <c r="E33" s="4"/>
      <c r="F33" vm="134">
        <f ca="1"/>
        <v>44713</v>
      </c>
      <c r="G33" vm="136">
        <f ca="1"/>
        <v>177.51</v>
      </c>
      <c r="H33">
        <f t="shared" ca="1" si="1"/>
        <v>-1.1251601403665212E-2</v>
      </c>
      <c r="I33" s="4"/>
      <c r="J33" vm="134">
        <f ca="1"/>
        <v>44713</v>
      </c>
      <c r="K33" vm="137">
        <f ca="1"/>
        <v>168.46</v>
      </c>
      <c r="L33">
        <f t="shared" ca="1" si="2"/>
        <v>-1.5659693817926756E-2</v>
      </c>
      <c r="M33" s="4"/>
      <c r="N33" vm="134">
        <f ca="1"/>
        <v>44713</v>
      </c>
      <c r="O33" vm="138">
        <f ca="1"/>
        <v>2.89</v>
      </c>
      <c r="P33">
        <f t="shared" ca="1" si="3"/>
        <v>1.7605633802816989E-2</v>
      </c>
    </row>
    <row r="34" spans="2:16" x14ac:dyDescent="0.3">
      <c r="B34" vm="139">
        <f ca="1"/>
        <v>44743</v>
      </c>
      <c r="C34" vm="140">
        <f ca="1"/>
        <v>280.74</v>
      </c>
      <c r="D34">
        <f t="shared" ca="1" si="0"/>
        <v>9.3096600864385204E-2</v>
      </c>
      <c r="E34" s="4"/>
      <c r="F34" vm="139">
        <f ca="1"/>
        <v>44743</v>
      </c>
      <c r="G34" vm="141">
        <f ca="1"/>
        <v>174.52</v>
      </c>
      <c r="H34">
        <f t="shared" ca="1" si="1"/>
        <v>-1.6844121457945893E-2</v>
      </c>
      <c r="I34" s="4"/>
      <c r="J34" vm="139">
        <f ca="1"/>
        <v>44743</v>
      </c>
      <c r="K34" vm="142">
        <f ca="1"/>
        <v>164.1</v>
      </c>
      <c r="L34">
        <f t="shared" ca="1" si="2"/>
        <v>-2.5881514899679492E-2</v>
      </c>
      <c r="M34" s="4"/>
      <c r="N34" vm="139">
        <f ca="1"/>
        <v>44743</v>
      </c>
      <c r="O34" vm="143">
        <f ca="1"/>
        <v>2.66</v>
      </c>
      <c r="P34">
        <f t="shared" ca="1" si="3"/>
        <v>-7.9584775086505188E-2</v>
      </c>
    </row>
    <row r="35" spans="2:16" x14ac:dyDescent="0.3">
      <c r="B35" vm="144">
        <f ca="1"/>
        <v>44774</v>
      </c>
      <c r="C35" vm="145">
        <f ca="1"/>
        <v>261.47000000000003</v>
      </c>
      <c r="D35">
        <f t="shared" ca="1" si="0"/>
        <v>-6.8640022796893851E-2</v>
      </c>
      <c r="E35" s="4"/>
      <c r="F35" vm="144">
        <f ca="1"/>
        <v>44774</v>
      </c>
      <c r="G35" vm="146">
        <f ca="1"/>
        <v>161.34</v>
      </c>
      <c r="H35">
        <f t="shared" ca="1" si="1"/>
        <v>-7.552143020857216E-2</v>
      </c>
      <c r="I35" s="4"/>
      <c r="J35" vm="144">
        <f ca="1"/>
        <v>44774</v>
      </c>
      <c r="K35" vm="147">
        <f ca="1"/>
        <v>159.27000000000001</v>
      </c>
      <c r="L35">
        <f t="shared" ca="1" si="2"/>
        <v>-2.9433272394881027E-2</v>
      </c>
      <c r="M35" s="4"/>
      <c r="N35" vm="144">
        <f ca="1"/>
        <v>44774</v>
      </c>
      <c r="O35" vm="148">
        <f ca="1"/>
        <v>2.98</v>
      </c>
      <c r="P35">
        <f t="shared" ca="1" si="3"/>
        <v>0.12030075187969924</v>
      </c>
    </row>
    <row r="36" spans="2:16" x14ac:dyDescent="0.3">
      <c r="B36" vm="149">
        <f ca="1"/>
        <v>44805</v>
      </c>
      <c r="C36" vm="150">
        <f ca="1"/>
        <v>232.9</v>
      </c>
      <c r="D36">
        <f t="shared" ca="1" si="0"/>
        <v>-0.10926683749569743</v>
      </c>
      <c r="E36" s="4"/>
      <c r="F36" vm="149">
        <f ca="1"/>
        <v>44805</v>
      </c>
      <c r="G36" vm="151">
        <f ca="1"/>
        <v>163.36000000000001</v>
      </c>
      <c r="H36">
        <f t="shared" ca="1" si="1"/>
        <v>1.2520143795710981E-2</v>
      </c>
      <c r="I36" s="4"/>
      <c r="J36" vm="149">
        <f ca="1"/>
        <v>44805</v>
      </c>
      <c r="K36" vm="152">
        <f ca="1"/>
        <v>154.66999999999999</v>
      </c>
      <c r="L36">
        <f t="shared" ca="1" si="2"/>
        <v>-2.8881773089721952E-2</v>
      </c>
      <c r="M36" s="4"/>
      <c r="N36" vm="149">
        <f ca="1"/>
        <v>44805</v>
      </c>
      <c r="O36" vm="153">
        <f ca="1"/>
        <v>2.61</v>
      </c>
      <c r="P36">
        <f t="shared" ca="1" si="3"/>
        <v>-0.12416107382550334</v>
      </c>
    </row>
    <row r="37" spans="2:16" x14ac:dyDescent="0.3">
      <c r="B37" vm="154">
        <f ca="1"/>
        <v>44835</v>
      </c>
      <c r="C37" vm="155">
        <f ca="1"/>
        <v>232.13</v>
      </c>
      <c r="D37">
        <f t="shared" ca="1" si="0"/>
        <v>-3.3061399742378983E-3</v>
      </c>
      <c r="E37" s="4"/>
      <c r="F37" vm="154">
        <f ca="1"/>
        <v>44835</v>
      </c>
      <c r="G37" vm="156">
        <f ca="1"/>
        <v>173.97</v>
      </c>
      <c r="H37">
        <f t="shared" ca="1" si="1"/>
        <v>6.4948579823702168E-2</v>
      </c>
      <c r="I37" s="4"/>
      <c r="J37" vm="154">
        <f ca="1"/>
        <v>44835</v>
      </c>
      <c r="K37" vm="157">
        <f ca="1"/>
        <v>151.91</v>
      </c>
      <c r="L37">
        <f t="shared" ca="1" si="2"/>
        <v>-1.7844443007693722E-2</v>
      </c>
      <c r="M37" s="4"/>
      <c r="N37" vm="154">
        <f ca="1"/>
        <v>44835</v>
      </c>
      <c r="O37" vm="158">
        <f ca="1"/>
        <v>2.83</v>
      </c>
      <c r="P37">
        <f t="shared" ca="1" si="3"/>
        <v>8.4291187739463647E-2</v>
      </c>
    </row>
    <row r="38" spans="2:16" x14ac:dyDescent="0.3">
      <c r="B38" vm="159">
        <f ca="1"/>
        <v>44866</v>
      </c>
      <c r="C38" vm="160">
        <f ca="1"/>
        <v>255.14</v>
      </c>
      <c r="D38">
        <f t="shared" ca="1" si="0"/>
        <v>9.9125490027139884E-2</v>
      </c>
      <c r="E38" s="4"/>
      <c r="F38" vm="159">
        <f ca="1"/>
        <v>44866</v>
      </c>
      <c r="G38" vm="161">
        <f ca="1"/>
        <v>178</v>
      </c>
      <c r="H38">
        <f t="shared" ca="1" si="1"/>
        <v>2.3164913490831829E-2</v>
      </c>
      <c r="I38" s="4"/>
      <c r="J38" vm="159">
        <f ca="1"/>
        <v>44866</v>
      </c>
      <c r="K38" vm="162">
        <f ca="1"/>
        <v>164.81</v>
      </c>
      <c r="L38">
        <f t="shared" ca="1" si="2"/>
        <v>8.4918701862945145E-2</v>
      </c>
      <c r="M38" s="4"/>
      <c r="N38" vm="159">
        <f ca="1"/>
        <v>44866</v>
      </c>
      <c r="O38" vm="163">
        <f ca="1"/>
        <v>2.76</v>
      </c>
      <c r="P38">
        <f t="shared" ca="1" si="3"/>
        <v>-2.4734982332155542E-2</v>
      </c>
    </row>
    <row r="39" spans="2:16" x14ac:dyDescent="0.3">
      <c r="B39" vm="164">
        <f ca="1"/>
        <v>44896</v>
      </c>
      <c r="C39" vm="165">
        <f ca="1"/>
        <v>239.82</v>
      </c>
      <c r="D39">
        <f t="shared" ref="D39:D66" ca="1" si="4">(C39/C38)-1</f>
        <v>-6.0045465234773054E-2</v>
      </c>
      <c r="E39" s="4"/>
      <c r="F39" vm="164">
        <f ca="1"/>
        <v>44896</v>
      </c>
      <c r="G39" vm="166">
        <f ca="1"/>
        <v>176.65</v>
      </c>
      <c r="H39">
        <f t="shared" ref="H39:H66" ca="1" si="5">(G39/G38)-1</f>
        <v>-7.5842696629213613E-3</v>
      </c>
      <c r="I39" s="4"/>
      <c r="J39" vm="164">
        <f ca="1"/>
        <v>44896</v>
      </c>
      <c r="K39" vm="167">
        <f ca="1"/>
        <v>169.64</v>
      </c>
      <c r="L39">
        <f t="shared" ref="L39:L66" ca="1" si="6">(K39/K38)-1</f>
        <v>2.930647412171572E-2</v>
      </c>
      <c r="M39" s="4"/>
      <c r="N39" vm="164">
        <f ca="1"/>
        <v>44896</v>
      </c>
      <c r="O39" vm="168">
        <f ca="1"/>
        <v>2.73</v>
      </c>
      <c r="P39">
        <f t="shared" ref="P39:P66" ca="1" si="7">(O39/O38)-1</f>
        <v>-1.0869565217391242E-2</v>
      </c>
    </row>
    <row r="40" spans="2:16" x14ac:dyDescent="0.3">
      <c r="B40" vm="169">
        <f ca="1"/>
        <v>44927</v>
      </c>
      <c r="C40" vm="170">
        <f ca="1"/>
        <v>247.81</v>
      </c>
      <c r="D40">
        <f t="shared" ca="1" si="4"/>
        <v>3.3316654157284686E-2</v>
      </c>
      <c r="E40" s="4"/>
      <c r="F40" vm="169">
        <f ca="1"/>
        <v>44927</v>
      </c>
      <c r="G40" vm="171">
        <f ca="1"/>
        <v>163.41999999999999</v>
      </c>
      <c r="H40">
        <f t="shared" ca="1" si="5"/>
        <v>-7.4893857911123796E-2</v>
      </c>
      <c r="I40" s="4"/>
      <c r="J40" vm="169">
        <f ca="1"/>
        <v>44927</v>
      </c>
      <c r="K40" vm="172">
        <f ca="1"/>
        <v>179.41</v>
      </c>
      <c r="L40">
        <f t="shared" ca="1" si="6"/>
        <v>5.7592548927139831E-2</v>
      </c>
      <c r="M40" s="4"/>
      <c r="N40" vm="169">
        <f ca="1"/>
        <v>44927</v>
      </c>
      <c r="O40" vm="173">
        <f ca="1"/>
        <v>2.91</v>
      </c>
      <c r="P40">
        <f t="shared" ca="1" si="7"/>
        <v>6.5934065934065922E-2</v>
      </c>
    </row>
    <row r="41" spans="2:16" x14ac:dyDescent="0.3">
      <c r="B41" vm="174">
        <f ca="1"/>
        <v>44958</v>
      </c>
      <c r="C41" vm="175">
        <f ca="1"/>
        <v>249.42</v>
      </c>
      <c r="D41">
        <f t="shared" ca="1" si="4"/>
        <v>6.4969129575076501E-3</v>
      </c>
      <c r="E41" s="4"/>
      <c r="F41" vm="174">
        <f ca="1"/>
        <v>44958</v>
      </c>
      <c r="G41" vm="176">
        <f ca="1"/>
        <v>153.26</v>
      </c>
      <c r="H41">
        <f t="shared" ca="1" si="5"/>
        <v>-6.2171092889487189E-2</v>
      </c>
      <c r="I41" s="4"/>
      <c r="J41" vm="174">
        <f ca="1"/>
        <v>44958</v>
      </c>
      <c r="K41" vm="177">
        <f ca="1"/>
        <v>169.78</v>
      </c>
      <c r="L41">
        <f t="shared" ca="1" si="6"/>
        <v>-5.3675937796109463E-2</v>
      </c>
      <c r="M41" s="4"/>
      <c r="N41" vm="174">
        <f ca="1"/>
        <v>44958</v>
      </c>
      <c r="O41" vm="178">
        <f ca="1"/>
        <v>3.01</v>
      </c>
      <c r="P41">
        <f t="shared" ca="1" si="7"/>
        <v>3.4364261168384758E-2</v>
      </c>
    </row>
    <row r="42" spans="2:16" x14ac:dyDescent="0.3">
      <c r="B42" vm="179">
        <f ca="1"/>
        <v>44986</v>
      </c>
      <c r="C42" vm="180">
        <f ca="1"/>
        <v>288.3</v>
      </c>
      <c r="D42">
        <f t="shared" ca="1" si="4"/>
        <v>0.15588164541736838</v>
      </c>
      <c r="E42" s="4"/>
      <c r="F42" vm="179">
        <f ca="1"/>
        <v>44986</v>
      </c>
      <c r="G42" vm="181">
        <f ca="1"/>
        <v>155</v>
      </c>
      <c r="H42">
        <f t="shared" ca="1" si="5"/>
        <v>1.1353255904998028E-2</v>
      </c>
      <c r="I42" s="4"/>
      <c r="J42" vm="179">
        <f ca="1"/>
        <v>44986</v>
      </c>
      <c r="K42" vm="182">
        <f ca="1"/>
        <v>183.22</v>
      </c>
      <c r="L42">
        <f t="shared" ca="1" si="6"/>
        <v>7.9161267522676493E-2</v>
      </c>
      <c r="M42" s="4"/>
      <c r="N42" vm="179">
        <f ca="1"/>
        <v>44986</v>
      </c>
      <c r="O42" vm="183">
        <f ca="1"/>
        <v>3.03</v>
      </c>
      <c r="P42">
        <f t="shared" ca="1" si="7"/>
        <v>6.6445182724252927E-3</v>
      </c>
    </row>
    <row r="43" spans="2:16" x14ac:dyDescent="0.3">
      <c r="B43" vm="184">
        <f ca="1"/>
        <v>45017</v>
      </c>
      <c r="C43" vm="185">
        <f ca="1"/>
        <v>307.26</v>
      </c>
      <c r="D43">
        <f t="shared" ca="1" si="4"/>
        <v>6.5764828303850109E-2</v>
      </c>
      <c r="E43" s="4"/>
      <c r="F43" vm="184">
        <f ca="1"/>
        <v>45017</v>
      </c>
      <c r="G43" vm="186">
        <f ca="1"/>
        <v>163.69999999999999</v>
      </c>
      <c r="H43">
        <f t="shared" ca="1" si="5"/>
        <v>5.6129032258064537E-2</v>
      </c>
      <c r="I43" s="4"/>
      <c r="J43" vm="184">
        <f ca="1"/>
        <v>45017</v>
      </c>
      <c r="K43" vm="187">
        <f ca="1"/>
        <v>184.8</v>
      </c>
      <c r="L43">
        <f t="shared" ca="1" si="6"/>
        <v>8.6235127169522752E-3</v>
      </c>
      <c r="M43" s="4"/>
      <c r="N43" vm="184">
        <f ca="1"/>
        <v>45017</v>
      </c>
      <c r="O43" vm="188">
        <f ca="1"/>
        <v>3.1</v>
      </c>
      <c r="P43">
        <f t="shared" ca="1" si="7"/>
        <v>2.3102310231023271E-2</v>
      </c>
    </row>
    <row r="44" spans="2:16" x14ac:dyDescent="0.3">
      <c r="B44" vm="189">
        <f ca="1"/>
        <v>45047</v>
      </c>
      <c r="C44" vm="190">
        <f ca="1"/>
        <v>328.39</v>
      </c>
      <c r="D44">
        <f t="shared" ca="1" si="4"/>
        <v>6.8769120614463386E-2</v>
      </c>
      <c r="E44" s="4"/>
      <c r="F44" vm="189">
        <f ca="1"/>
        <v>45047</v>
      </c>
      <c r="G44" vm="191">
        <f ca="1"/>
        <v>155.06</v>
      </c>
      <c r="H44">
        <f t="shared" ca="1" si="5"/>
        <v>-5.277947464874766E-2</v>
      </c>
      <c r="I44" s="4"/>
      <c r="J44" vm="189">
        <f ca="1"/>
        <v>45047</v>
      </c>
      <c r="K44" vm="192">
        <f ca="1"/>
        <v>182.32</v>
      </c>
      <c r="L44">
        <f t="shared" ca="1" si="6"/>
        <v>-1.3419913419913554E-2</v>
      </c>
      <c r="M44" s="4"/>
      <c r="N44" vm="189">
        <f ca="1"/>
        <v>45047</v>
      </c>
      <c r="O44" vm="193">
        <f ca="1"/>
        <v>3.17</v>
      </c>
      <c r="P44">
        <f t="shared" ca="1" si="7"/>
        <v>2.2580645161290214E-2</v>
      </c>
    </row>
    <row r="45" spans="2:16" x14ac:dyDescent="0.3">
      <c r="B45" vm="194">
        <f ca="1"/>
        <v>45078</v>
      </c>
      <c r="C45" vm="195">
        <f ca="1"/>
        <v>340.54</v>
      </c>
      <c r="D45">
        <f t="shared" ca="1" si="4"/>
        <v>3.6998690581321103E-2</v>
      </c>
      <c r="E45" s="4"/>
      <c r="F45" vm="194">
        <f ca="1"/>
        <v>45078</v>
      </c>
      <c r="G45" vm="196">
        <f ca="1"/>
        <v>165.52</v>
      </c>
      <c r="H45">
        <f t="shared" ca="1" si="5"/>
        <v>6.7457758287114755E-2</v>
      </c>
      <c r="I45" s="4"/>
      <c r="J45" vm="194">
        <f ca="1"/>
        <v>45078</v>
      </c>
      <c r="K45" vm="197">
        <f ca="1"/>
        <v>178.27</v>
      </c>
      <c r="L45">
        <f t="shared" ca="1" si="6"/>
        <v>-2.2213690215006521E-2</v>
      </c>
      <c r="M45" s="4"/>
      <c r="N45" vm="194">
        <f ca="1"/>
        <v>45078</v>
      </c>
      <c r="O45" vm="178">
        <f ca="1"/>
        <v>3.01</v>
      </c>
      <c r="P45">
        <f t="shared" ca="1" si="7"/>
        <v>-5.0473186119873836E-2</v>
      </c>
    </row>
    <row r="46" spans="2:16" x14ac:dyDescent="0.3">
      <c r="B46" vm="198">
        <f ca="1"/>
        <v>45108</v>
      </c>
      <c r="C46" vm="199">
        <f ca="1"/>
        <v>335.92</v>
      </c>
      <c r="D46">
        <f t="shared" ca="1" si="4"/>
        <v>-1.3566688201092414E-2</v>
      </c>
      <c r="E46" s="4"/>
      <c r="F46" vm="198">
        <f ca="1"/>
        <v>45108</v>
      </c>
      <c r="G46" vm="200">
        <f ca="1"/>
        <v>167.53</v>
      </c>
      <c r="H46">
        <f t="shared" ca="1" si="5"/>
        <v>1.2143547607539773E-2</v>
      </c>
      <c r="I46" s="4"/>
      <c r="J46" vm="198">
        <f ca="1"/>
        <v>45108</v>
      </c>
      <c r="K46" vm="201">
        <f ca="1"/>
        <v>182.35</v>
      </c>
      <c r="L46">
        <f t="shared" ca="1" si="6"/>
        <v>2.2886632635889192E-2</v>
      </c>
      <c r="M46" s="4"/>
      <c r="N46" vm="198">
        <f ca="1"/>
        <v>45108</v>
      </c>
      <c r="O46" vm="202">
        <f ca="1"/>
        <v>3.15</v>
      </c>
      <c r="P46">
        <f t="shared" ca="1" si="7"/>
        <v>4.6511627906976827E-2</v>
      </c>
    </row>
    <row r="47" spans="2:16" x14ac:dyDescent="0.3">
      <c r="B47" vm="203">
        <f ca="1"/>
        <v>45139</v>
      </c>
      <c r="C47" vm="204">
        <f ca="1"/>
        <v>327.76</v>
      </c>
      <c r="D47">
        <f t="shared" ca="1" si="4"/>
        <v>-2.429149797570862E-2</v>
      </c>
      <c r="E47" s="4"/>
      <c r="F47" vm="203">
        <f ca="1"/>
        <v>45139</v>
      </c>
      <c r="G47" vm="205">
        <f ca="1"/>
        <v>161.68</v>
      </c>
      <c r="H47">
        <f t="shared" ca="1" si="5"/>
        <v>-3.4919118963767648E-2</v>
      </c>
      <c r="I47" s="4"/>
      <c r="J47" vm="203">
        <f ca="1"/>
        <v>45139</v>
      </c>
      <c r="K47" vm="206">
        <f ca="1"/>
        <v>180.02</v>
      </c>
      <c r="L47">
        <f t="shared" ca="1" si="6"/>
        <v>-1.2777625445571594E-2</v>
      </c>
      <c r="M47" s="4"/>
      <c r="N47" vm="203">
        <f ca="1"/>
        <v>45139</v>
      </c>
      <c r="O47" vm="207">
        <f ca="1"/>
        <v>3.12</v>
      </c>
      <c r="P47">
        <f t="shared" ca="1" si="7"/>
        <v>-9.52380952380949E-3</v>
      </c>
    </row>
    <row r="48" spans="2:16" x14ac:dyDescent="0.3">
      <c r="B48" vm="208">
        <f ca="1"/>
        <v>45170</v>
      </c>
      <c r="C48" vm="209">
        <f ca="1"/>
        <v>315.75</v>
      </c>
      <c r="D48">
        <f t="shared" ca="1" si="4"/>
        <v>-3.6642665364901128E-2</v>
      </c>
      <c r="E48" s="4"/>
      <c r="F48" vm="208">
        <f ca="1"/>
        <v>45170</v>
      </c>
      <c r="G48" vm="210">
        <f ca="1"/>
        <v>155.75</v>
      </c>
      <c r="H48">
        <f t="shared" ca="1" si="5"/>
        <v>-3.667738743196447E-2</v>
      </c>
      <c r="I48" s="4"/>
      <c r="J48" vm="208">
        <f ca="1"/>
        <v>45170</v>
      </c>
      <c r="K48" vm="211">
        <f ca="1"/>
        <v>171.45</v>
      </c>
      <c r="L48">
        <f t="shared" ca="1" si="6"/>
        <v>-4.7605821575380625E-2</v>
      </c>
      <c r="M48" s="4"/>
      <c r="N48" vm="208">
        <f ca="1"/>
        <v>45170</v>
      </c>
      <c r="O48" vm="212">
        <f ca="1"/>
        <v>3</v>
      </c>
      <c r="P48">
        <f t="shared" ca="1" si="7"/>
        <v>-3.8461538461538547E-2</v>
      </c>
    </row>
    <row r="49" spans="2:16" x14ac:dyDescent="0.3">
      <c r="B49" vm="213">
        <f ca="1"/>
        <v>45200</v>
      </c>
      <c r="C49" vm="214">
        <f ca="1"/>
        <v>338.11</v>
      </c>
      <c r="D49">
        <f t="shared" ca="1" si="4"/>
        <v>7.0815518606492489E-2</v>
      </c>
      <c r="E49" s="4"/>
      <c r="F49" vm="213">
        <f ca="1"/>
        <v>45200</v>
      </c>
      <c r="G49" vm="215">
        <f ca="1"/>
        <v>148.34</v>
      </c>
      <c r="H49">
        <f t="shared" ca="1" si="5"/>
        <v>-4.7576243980738342E-2</v>
      </c>
      <c r="I49" s="4"/>
      <c r="J49" vm="213">
        <f ca="1"/>
        <v>45200</v>
      </c>
      <c r="K49" vm="216">
        <f ca="1"/>
        <v>184.09</v>
      </c>
      <c r="L49">
        <f t="shared" ca="1" si="6"/>
        <v>7.3724117818606105E-2</v>
      </c>
      <c r="M49" s="4"/>
      <c r="N49" vm="213">
        <f ca="1"/>
        <v>45200</v>
      </c>
      <c r="O49" vm="158">
        <f ca="1"/>
        <v>2.83</v>
      </c>
      <c r="P49">
        <f t="shared" ca="1" si="7"/>
        <v>-5.6666666666666643E-2</v>
      </c>
    </row>
    <row r="50" spans="2:16" x14ac:dyDescent="0.3">
      <c r="B50" vm="217">
        <f ca="1"/>
        <v>45231</v>
      </c>
      <c r="C50" vm="218">
        <f ca="1"/>
        <v>378.91</v>
      </c>
      <c r="D50">
        <f t="shared" ca="1" si="4"/>
        <v>0.1206707876134987</v>
      </c>
      <c r="E50" s="4"/>
      <c r="F50" vm="217">
        <f ca="1"/>
        <v>45231</v>
      </c>
      <c r="G50" vm="219">
        <f ca="1"/>
        <v>154.66</v>
      </c>
      <c r="H50">
        <f t="shared" ca="1" si="5"/>
        <v>4.2604826749359503E-2</v>
      </c>
      <c r="I50" s="4"/>
      <c r="J50" vm="217">
        <f ca="1"/>
        <v>45231</v>
      </c>
      <c r="K50" vm="220">
        <f ca="1"/>
        <v>188.75</v>
      </c>
      <c r="L50">
        <f t="shared" ca="1" si="6"/>
        <v>2.5313705252865359E-2</v>
      </c>
      <c r="M50" s="4"/>
      <c r="N50" vm="217">
        <f ca="1"/>
        <v>45231</v>
      </c>
      <c r="O50" vm="221">
        <f ca="1"/>
        <v>3.08</v>
      </c>
      <c r="P50">
        <f t="shared" ca="1" si="7"/>
        <v>8.8339222614840951E-2</v>
      </c>
    </row>
    <row r="51" spans="2:16" x14ac:dyDescent="0.3">
      <c r="B51" vm="222">
        <f ca="1"/>
        <v>45261</v>
      </c>
      <c r="C51" vm="223">
        <f ca="1"/>
        <v>376.04</v>
      </c>
      <c r="D51">
        <f t="shared" ca="1" si="4"/>
        <v>-7.57435802697215E-3</v>
      </c>
      <c r="E51" s="4"/>
      <c r="F51" vm="222">
        <f ca="1"/>
        <v>45261</v>
      </c>
      <c r="G51" vm="224">
        <f ca="1"/>
        <v>156.74</v>
      </c>
      <c r="H51">
        <f t="shared" ca="1" si="5"/>
        <v>1.3448855554118788E-2</v>
      </c>
      <c r="I51" s="4"/>
      <c r="J51" vm="222">
        <f ca="1"/>
        <v>45261</v>
      </c>
      <c r="K51" vm="225">
        <f ca="1"/>
        <v>191.17</v>
      </c>
      <c r="L51">
        <f t="shared" ca="1" si="6"/>
        <v>1.2821192052980157E-2</v>
      </c>
      <c r="M51" s="4"/>
      <c r="N51" vm="222">
        <f ca="1"/>
        <v>45261</v>
      </c>
      <c r="O51" vm="226">
        <f ca="1"/>
        <v>3.49</v>
      </c>
      <c r="P51">
        <f t="shared" ca="1" si="7"/>
        <v>0.13311688311688319</v>
      </c>
    </row>
    <row r="52" spans="2:16" x14ac:dyDescent="0.3">
      <c r="B52" vm="227">
        <f ca="1"/>
        <v>45292</v>
      </c>
      <c r="C52" vm="228">
        <f ca="1"/>
        <v>397.58</v>
      </c>
      <c r="D52">
        <f t="shared" ca="1" si="4"/>
        <v>5.7281140304222822E-2</v>
      </c>
      <c r="E52" s="4"/>
      <c r="F52" vm="227">
        <f ca="1"/>
        <v>45292</v>
      </c>
      <c r="G52" vm="229">
        <f ca="1"/>
        <v>158.9</v>
      </c>
      <c r="H52">
        <f t="shared" ca="1" si="5"/>
        <v>1.3780783463059887E-2</v>
      </c>
      <c r="I52" s="4"/>
      <c r="J52" vm="227">
        <f ca="1"/>
        <v>45292</v>
      </c>
      <c r="K52" vm="230">
        <f ca="1"/>
        <v>188.45</v>
      </c>
      <c r="L52">
        <f t="shared" ca="1" si="6"/>
        <v>-1.4228173876654315E-2</v>
      </c>
      <c r="M52" s="4"/>
      <c r="N52" vm="227">
        <f ca="1"/>
        <v>45292</v>
      </c>
      <c r="O52" vm="231">
        <f ca="1"/>
        <v>3.51</v>
      </c>
      <c r="P52">
        <f t="shared" ca="1" si="7"/>
        <v>5.7306590257879542E-3</v>
      </c>
    </row>
    <row r="53" spans="2:16" x14ac:dyDescent="0.3">
      <c r="B53" vm="232">
        <f ca="1"/>
        <v>45323</v>
      </c>
      <c r="C53" vm="233">
        <f ca="1"/>
        <v>413.64</v>
      </c>
      <c r="D53">
        <f t="shared" ca="1" si="4"/>
        <v>4.0394386035514929E-2</v>
      </c>
      <c r="E53" s="4"/>
      <c r="F53" vm="232">
        <f ca="1"/>
        <v>45323</v>
      </c>
      <c r="G53" vm="234">
        <f ca="1"/>
        <v>161.38</v>
      </c>
      <c r="H53">
        <f t="shared" ca="1" si="5"/>
        <v>1.5607300188797968E-2</v>
      </c>
      <c r="I53" s="4"/>
      <c r="J53" vm="232">
        <f ca="1"/>
        <v>45323</v>
      </c>
      <c r="K53" vm="235">
        <f ca="1"/>
        <v>189.31</v>
      </c>
      <c r="L53">
        <f t="shared" ca="1" si="6"/>
        <v>4.5635447068188562E-3</v>
      </c>
      <c r="M53" s="4"/>
      <c r="N53" vm="232">
        <f ca="1"/>
        <v>45323</v>
      </c>
      <c r="O53" vm="236">
        <f ca="1"/>
        <v>3.67</v>
      </c>
      <c r="P53">
        <f t="shared" ca="1" si="7"/>
        <v>4.5584045584045718E-2</v>
      </c>
    </row>
    <row r="54" spans="2:16" x14ac:dyDescent="0.3">
      <c r="B54" vm="237">
        <f ca="1"/>
        <v>45352</v>
      </c>
      <c r="C54" vm="238">
        <f ca="1"/>
        <v>420.72</v>
      </c>
      <c r="D54">
        <f t="shared" ca="1" si="4"/>
        <v>1.7116333043226017E-2</v>
      </c>
      <c r="E54" s="4"/>
      <c r="F54" vm="237">
        <f ca="1"/>
        <v>45352</v>
      </c>
      <c r="G54" vm="239">
        <f ca="1"/>
        <v>158.19</v>
      </c>
      <c r="H54">
        <f t="shared" ca="1" si="5"/>
        <v>-1.976700954269428E-2</v>
      </c>
      <c r="I54" s="4"/>
      <c r="J54" vm="237">
        <f ca="1"/>
        <v>45352</v>
      </c>
      <c r="K54" vm="240">
        <f ca="1"/>
        <v>205.72</v>
      </c>
      <c r="L54">
        <f t="shared" ca="1" si="6"/>
        <v>8.6683218002218565E-2</v>
      </c>
      <c r="M54" s="4"/>
      <c r="N54" vm="237">
        <f ca="1"/>
        <v>45352</v>
      </c>
      <c r="O54" vm="241">
        <f ca="1"/>
        <v>3.7</v>
      </c>
      <c r="P54">
        <f t="shared" ca="1" si="7"/>
        <v>8.1743869209809361E-3</v>
      </c>
    </row>
    <row r="55" spans="2:16" x14ac:dyDescent="0.3">
      <c r="B55" vm="242">
        <f ca="1"/>
        <v>45383</v>
      </c>
      <c r="C55" vm="243">
        <f ca="1"/>
        <v>389.33</v>
      </c>
      <c r="D55">
        <f t="shared" ca="1" si="4"/>
        <v>-7.4610192051720925E-2</v>
      </c>
      <c r="E55" s="4"/>
      <c r="F55" vm="242">
        <f ca="1"/>
        <v>45383</v>
      </c>
      <c r="G55" vm="244">
        <f ca="1"/>
        <v>144.59</v>
      </c>
      <c r="H55">
        <f t="shared" ca="1" si="5"/>
        <v>-8.597256463746128E-2</v>
      </c>
      <c r="I55" s="4"/>
      <c r="J55" vm="242">
        <f ca="1"/>
        <v>45383</v>
      </c>
      <c r="K55" vm="245">
        <f ca="1"/>
        <v>211.87</v>
      </c>
      <c r="L55">
        <f t="shared" ca="1" si="6"/>
        <v>2.9895002916585645E-2</v>
      </c>
      <c r="M55" s="4"/>
      <c r="N55" vm="242">
        <f ca="1"/>
        <v>45383</v>
      </c>
      <c r="O55" vm="246">
        <f ca="1"/>
        <v>3.43</v>
      </c>
      <c r="P55">
        <f t="shared" ca="1" si="7"/>
        <v>-7.2972972972973005E-2</v>
      </c>
    </row>
    <row r="56" spans="2:16" x14ac:dyDescent="0.3">
      <c r="B56" vm="247">
        <f ca="1"/>
        <v>45413</v>
      </c>
      <c r="C56" vm="248">
        <f ca="1"/>
        <v>415.13</v>
      </c>
      <c r="D56">
        <f t="shared" ca="1" si="4"/>
        <v>6.6267690648036393E-2</v>
      </c>
      <c r="E56" s="4"/>
      <c r="F56" vm="247">
        <f ca="1"/>
        <v>45413</v>
      </c>
      <c r="G56" vm="249">
        <f ca="1"/>
        <v>146.66999999999999</v>
      </c>
      <c r="H56">
        <f t="shared" ca="1" si="5"/>
        <v>1.4385503838439506E-2</v>
      </c>
      <c r="I56" s="4"/>
      <c r="J56" vm="247">
        <f ca="1"/>
        <v>45413</v>
      </c>
      <c r="K56" vm="250">
        <f ca="1"/>
        <v>215.3</v>
      </c>
      <c r="L56">
        <f t="shared" ca="1" si="6"/>
        <v>1.6189172605843183E-2</v>
      </c>
      <c r="M56" s="4"/>
      <c r="N56" vm="247">
        <f ca="1"/>
        <v>45413</v>
      </c>
      <c r="O56" vm="251">
        <f ca="1"/>
        <v>3.48</v>
      </c>
      <c r="P56">
        <f t="shared" ca="1" si="7"/>
        <v>1.4577259475218707E-2</v>
      </c>
    </row>
    <row r="57" spans="2:16" x14ac:dyDescent="0.3">
      <c r="B57" vm="252">
        <f ca="1"/>
        <v>45444</v>
      </c>
      <c r="C57" vm="253">
        <f ca="1"/>
        <v>446.95</v>
      </c>
      <c r="D57">
        <f t="shared" ca="1" si="4"/>
        <v>7.6650687736371736E-2</v>
      </c>
      <c r="E57" s="4"/>
      <c r="F57" vm="252">
        <f ca="1"/>
        <v>45444</v>
      </c>
      <c r="G57" vm="254">
        <f ca="1"/>
        <v>146.16</v>
      </c>
      <c r="H57">
        <f t="shared" ca="1" si="5"/>
        <v>-3.4771937001430997E-3</v>
      </c>
      <c r="I57" s="4"/>
      <c r="J57" vm="252">
        <f ca="1"/>
        <v>45444</v>
      </c>
      <c r="K57" vm="255">
        <f ca="1"/>
        <v>215.01</v>
      </c>
      <c r="L57">
        <f t="shared" ca="1" si="6"/>
        <v>-1.3469577333953264E-3</v>
      </c>
      <c r="M57" s="4"/>
      <c r="N57" vm="252">
        <f ca="1"/>
        <v>45444</v>
      </c>
      <c r="O57" vm="202">
        <f ca="1"/>
        <v>3.15</v>
      </c>
      <c r="P57">
        <f t="shared" ca="1" si="7"/>
        <v>-9.4827586206896575E-2</v>
      </c>
    </row>
    <row r="58" spans="2:16" x14ac:dyDescent="0.3">
      <c r="B58" vm="256">
        <f ca="1"/>
        <v>45474</v>
      </c>
      <c r="C58" vm="257">
        <f ca="1"/>
        <v>418.35</v>
      </c>
      <c r="D58">
        <f t="shared" ca="1" si="4"/>
        <v>-6.3989260543684923E-2</v>
      </c>
      <c r="E58" s="4"/>
      <c r="F58" vm="256">
        <f ca="1"/>
        <v>45474</v>
      </c>
      <c r="G58" vm="258">
        <f ca="1"/>
        <v>157.85</v>
      </c>
      <c r="H58">
        <f t="shared" ca="1" si="5"/>
        <v>7.9980842911877348E-2</v>
      </c>
      <c r="I58" s="4"/>
      <c r="J58" vm="256">
        <f ca="1"/>
        <v>45474</v>
      </c>
      <c r="K58" vm="259">
        <f ca="1"/>
        <v>226.55</v>
      </c>
      <c r="L58">
        <f t="shared" ca="1" si="6"/>
        <v>5.3671922236175229E-2</v>
      </c>
      <c r="M58" s="4"/>
      <c r="N58" vm="256">
        <f ca="1"/>
        <v>45474</v>
      </c>
      <c r="O58" vm="260">
        <f ca="1"/>
        <v>3.26</v>
      </c>
      <c r="P58">
        <f t="shared" ca="1" si="7"/>
        <v>3.4920634920634797E-2</v>
      </c>
    </row>
    <row r="59" spans="2:16" x14ac:dyDescent="0.3">
      <c r="B59" vm="261">
        <f ca="1"/>
        <v>45505</v>
      </c>
      <c r="C59" vm="262">
        <f ca="1"/>
        <v>417.14</v>
      </c>
      <c r="D59">
        <f t="shared" ca="1" si="4"/>
        <v>-2.8923150472093262E-3</v>
      </c>
      <c r="E59" s="4"/>
      <c r="F59" vm="261">
        <f ca="1"/>
        <v>45505</v>
      </c>
      <c r="G59" vm="263">
        <f ca="1"/>
        <v>165.86</v>
      </c>
      <c r="H59">
        <f t="shared" ca="1" si="5"/>
        <v>5.0744377573646027E-2</v>
      </c>
      <c r="I59" s="4"/>
      <c r="J59" vm="261">
        <f ca="1"/>
        <v>45505</v>
      </c>
      <c r="K59" vm="264">
        <f ca="1"/>
        <v>231.29</v>
      </c>
      <c r="L59">
        <f t="shared" ca="1" si="6"/>
        <v>2.0922533657029341E-2</v>
      </c>
      <c r="M59" s="4"/>
      <c r="N59" vm="261">
        <f ca="1"/>
        <v>45505</v>
      </c>
      <c r="O59" vm="265">
        <f ca="1"/>
        <v>2.88</v>
      </c>
      <c r="P59">
        <f t="shared" ca="1" si="7"/>
        <v>-0.1165644171779141</v>
      </c>
    </row>
    <row r="60" spans="2:16" x14ac:dyDescent="0.3">
      <c r="B60" vm="266">
        <f ca="1"/>
        <v>45536</v>
      </c>
      <c r="C60" vm="267">
        <f ca="1"/>
        <v>430.3</v>
      </c>
      <c r="D60">
        <f t="shared" ca="1" si="4"/>
        <v>3.1548161288776022E-2</v>
      </c>
      <c r="E60" s="4"/>
      <c r="F60" vm="266">
        <f ca="1"/>
        <v>45536</v>
      </c>
      <c r="G60" vm="268">
        <f ca="1"/>
        <v>162.06</v>
      </c>
      <c r="H60">
        <f t="shared" ca="1" si="5"/>
        <v>-2.2910888701314414E-2</v>
      </c>
      <c r="I60" s="4"/>
      <c r="J60" vm="266">
        <f ca="1"/>
        <v>45536</v>
      </c>
      <c r="K60" vm="269">
        <f ca="1"/>
        <v>243.06</v>
      </c>
      <c r="L60">
        <f t="shared" ca="1" si="6"/>
        <v>5.0888494963033493E-2</v>
      </c>
      <c r="M60" s="4"/>
      <c r="N60" vm="266">
        <f ca="1"/>
        <v>45536</v>
      </c>
      <c r="O60" vm="270">
        <f ca="1"/>
        <v>2.93</v>
      </c>
      <c r="P60">
        <f t="shared" ca="1" si="7"/>
        <v>1.736111111111116E-2</v>
      </c>
    </row>
    <row r="61" spans="2:16" x14ac:dyDescent="0.3">
      <c r="B61" vm="271">
        <f ca="1"/>
        <v>45566</v>
      </c>
      <c r="C61" vm="272">
        <f ca="1"/>
        <v>406.35</v>
      </c>
      <c r="D61">
        <f t="shared" ca="1" si="4"/>
        <v>-5.5658842667906105E-2</v>
      </c>
      <c r="E61" s="4"/>
      <c r="F61" vm="271">
        <f ca="1"/>
        <v>45566</v>
      </c>
      <c r="G61" vm="273">
        <f ca="1"/>
        <v>159.86000000000001</v>
      </c>
      <c r="H61">
        <f t="shared" ca="1" si="5"/>
        <v>-1.3575219054671073E-2</v>
      </c>
      <c r="I61" s="4"/>
      <c r="J61" vm="271">
        <f ca="1"/>
        <v>45566</v>
      </c>
      <c r="K61" vm="274">
        <f ca="1"/>
        <v>253.51</v>
      </c>
      <c r="L61">
        <f t="shared" ca="1" si="6"/>
        <v>4.2993499547436809E-2</v>
      </c>
      <c r="M61" s="4"/>
      <c r="N61" vm="271">
        <f ca="1"/>
        <v>45566</v>
      </c>
      <c r="O61" vm="275">
        <f ca="1"/>
        <v>2.63</v>
      </c>
      <c r="P61">
        <f t="shared" ca="1" si="7"/>
        <v>-0.1023890784982936</v>
      </c>
    </row>
    <row r="62" spans="2:16" x14ac:dyDescent="0.3">
      <c r="B62" vm="276">
        <f ca="1"/>
        <v>45597</v>
      </c>
      <c r="C62" vm="277">
        <f ca="1"/>
        <v>423.46</v>
      </c>
      <c r="D62">
        <f t="shared" ca="1" si="4"/>
        <v>4.2106558385627935E-2</v>
      </c>
      <c r="E62" s="4"/>
      <c r="F62" vm="276">
        <f ca="1"/>
        <v>45597</v>
      </c>
      <c r="G62" vm="278">
        <f ca="1"/>
        <v>155.01</v>
      </c>
      <c r="H62">
        <f t="shared" ca="1" si="5"/>
        <v>-3.0339046665832758E-2</v>
      </c>
      <c r="I62" s="4"/>
      <c r="J62" vm="276">
        <f ca="1"/>
        <v>45597</v>
      </c>
      <c r="K62" vm="279">
        <f ca="1"/>
        <v>245.59</v>
      </c>
      <c r="L62">
        <f t="shared" ca="1" si="6"/>
        <v>-3.1241371149066999E-2</v>
      </c>
      <c r="M62" s="4"/>
      <c r="N62" vm="276">
        <f ca="1"/>
        <v>45597</v>
      </c>
      <c r="O62" vm="153">
        <f ca="1"/>
        <v>2.61</v>
      </c>
      <c r="P62">
        <f t="shared" ca="1" si="7"/>
        <v>-7.6045627376425395E-3</v>
      </c>
    </row>
    <row r="63" spans="2:16" x14ac:dyDescent="0.3">
      <c r="B63" vm="280">
        <f ca="1"/>
        <v>45627</v>
      </c>
      <c r="C63" vm="281">
        <f ca="1"/>
        <v>421.5</v>
      </c>
      <c r="D63">
        <f t="shared" ca="1" si="4"/>
        <v>-4.6285363434562798E-3</v>
      </c>
      <c r="E63" s="4"/>
      <c r="F63" vm="280">
        <f ca="1"/>
        <v>45627</v>
      </c>
      <c r="G63" vm="282">
        <f ca="1"/>
        <v>144.62</v>
      </c>
      <c r="H63">
        <f t="shared" ca="1" si="5"/>
        <v>-6.7027933681697904E-2</v>
      </c>
      <c r="I63" s="4"/>
      <c r="J63" vm="280">
        <f ca="1"/>
        <v>45627</v>
      </c>
      <c r="K63" vm="283">
        <f ca="1"/>
        <v>242.13</v>
      </c>
      <c r="L63">
        <f t="shared" ca="1" si="6"/>
        <v>-1.4088521519605934E-2</v>
      </c>
      <c r="M63" s="4"/>
      <c r="N63" vm="280">
        <f ca="1"/>
        <v>45627</v>
      </c>
      <c r="O63" vm="275">
        <f ca="1"/>
        <v>2.63</v>
      </c>
      <c r="P63">
        <f t="shared" ca="1" si="7"/>
        <v>7.6628352490422103E-3</v>
      </c>
    </row>
    <row r="64" spans="2:16" x14ac:dyDescent="0.3">
      <c r="B64" vm="284">
        <f ca="1"/>
        <v>45658</v>
      </c>
      <c r="C64" vm="285">
        <f ca="1"/>
        <v>415.06</v>
      </c>
      <c r="D64">
        <f t="shared" ca="1" si="4"/>
        <v>-1.5278766310794722E-2</v>
      </c>
      <c r="E64" s="4"/>
      <c r="F64" vm="284">
        <f ca="1"/>
        <v>45658</v>
      </c>
      <c r="G64" vm="286">
        <f ca="1"/>
        <v>152.15</v>
      </c>
      <c r="H64">
        <f t="shared" ca="1" si="5"/>
        <v>5.2067487207855034E-2</v>
      </c>
      <c r="I64" s="4"/>
      <c r="J64" vm="284">
        <f ca="1"/>
        <v>45658</v>
      </c>
      <c r="K64" vm="287">
        <f ca="1"/>
        <v>258.56</v>
      </c>
      <c r="L64">
        <f t="shared" ca="1" si="6"/>
        <v>6.7856110353942123E-2</v>
      </c>
      <c r="M64" s="4"/>
      <c r="N64" vm="284">
        <f ca="1"/>
        <v>45658</v>
      </c>
      <c r="O64" vm="288">
        <f ca="1"/>
        <v>2.6</v>
      </c>
      <c r="P64">
        <f t="shared" ca="1" si="7"/>
        <v>-1.1406844106463754E-2</v>
      </c>
    </row>
    <row r="65" spans="2:16" x14ac:dyDescent="0.3">
      <c r="B65" vm="289">
        <f ca="1"/>
        <v>45689</v>
      </c>
      <c r="C65" vm="290">
        <f ca="1"/>
        <v>396.99</v>
      </c>
      <c r="D65">
        <f t="shared" ca="1" si="4"/>
        <v>-4.353587433142192E-2</v>
      </c>
      <c r="E65" s="4"/>
      <c r="F65" vm="289">
        <f ca="1"/>
        <v>45689</v>
      </c>
      <c r="G65" vm="291">
        <f ca="1"/>
        <v>165.02</v>
      </c>
      <c r="H65">
        <f t="shared" ca="1" si="5"/>
        <v>8.4587578047979006E-2</v>
      </c>
      <c r="I65" s="4"/>
      <c r="J65" vm="289">
        <f ca="1"/>
        <v>45689</v>
      </c>
      <c r="K65" vm="292">
        <f ca="1"/>
        <v>263.27</v>
      </c>
      <c r="L65">
        <f t="shared" ca="1" si="6"/>
        <v>1.8216274752475226E-2</v>
      </c>
      <c r="M65" s="4"/>
      <c r="N65" vm="289">
        <f ca="1"/>
        <v>45689</v>
      </c>
      <c r="O65" vm="293">
        <f ca="1"/>
        <v>1.7250000000000001</v>
      </c>
      <c r="P65">
        <f t="shared" ca="1" si="7"/>
        <v>-0.33653846153846156</v>
      </c>
    </row>
    <row r="66" spans="2:16" x14ac:dyDescent="0.3">
      <c r="B66" vm="294">
        <f ca="1"/>
        <v>45717</v>
      </c>
      <c r="C66" vm="295">
        <f ca="1"/>
        <v>375.39</v>
      </c>
      <c r="D66">
        <f t="shared" ca="1" si="4"/>
        <v>-5.4409430968034522E-2</v>
      </c>
      <c r="E66" s="4"/>
      <c r="F66" vm="294">
        <f ca="1"/>
        <v>45717</v>
      </c>
      <c r="G66" vm="296">
        <f ca="1"/>
        <v>165.84</v>
      </c>
      <c r="H66">
        <f t="shared" ca="1" si="5"/>
        <v>4.9690946551932402E-3</v>
      </c>
      <c r="I66" s="4"/>
      <c r="J66" vm="294">
        <f ca="1"/>
        <v>45717</v>
      </c>
      <c r="K66" vm="297">
        <f ca="1"/>
        <v>288.14</v>
      </c>
      <c r="L66">
        <f t="shared" ca="1" si="6"/>
        <v>9.4465757587267829E-2</v>
      </c>
      <c r="M66" s="4"/>
      <c r="N66" vm="294">
        <f ca="1"/>
        <v>45717</v>
      </c>
      <c r="O66" vm="298">
        <f ca="1"/>
        <v>1.7050000000000001</v>
      </c>
      <c r="P66">
        <f t="shared" ca="1" si="7"/>
        <v>-1.1594202898550732E-2</v>
      </c>
    </row>
    <row r="68" spans="2:16" ht="18" x14ac:dyDescent="0.35">
      <c r="B68" s="1" t="s">
        <v>102</v>
      </c>
    </row>
    <row r="70" spans="2:16" x14ac:dyDescent="0.3">
      <c r="D70" s="5"/>
      <c r="E70" s="6" t="s">
        <v>1</v>
      </c>
      <c r="F70" s="6" t="s">
        <v>2</v>
      </c>
      <c r="G70" s="6" t="s">
        <v>3</v>
      </c>
      <c r="H70" s="6" t="s">
        <v>4</v>
      </c>
    </row>
    <row r="71" spans="2:16" ht="17.399999999999999" x14ac:dyDescent="0.35">
      <c r="C71" s="7" t="s">
        <v>5</v>
      </c>
      <c r="D71" s="6" t="s">
        <v>6</v>
      </c>
      <c r="E71" s="5">
        <f ca="1">STDEV(D7:D42)</f>
        <v>7.1862753273792962E-2</v>
      </c>
      <c r="F71" s="5">
        <f ca="1">STDEV(H7:H42)</f>
        <v>5.275366618188744E-2</v>
      </c>
      <c r="G71" s="5">
        <f ca="1">STDEV(L7:L42)</f>
        <v>4.6522923875721323E-2</v>
      </c>
      <c r="H71" s="5">
        <f ca="1">STDEV(P7:P42)</f>
        <v>8.8015930002257325E-2</v>
      </c>
    </row>
    <row r="72" spans="2:16" x14ac:dyDescent="0.3">
      <c r="D72" s="6" t="s">
        <v>7</v>
      </c>
      <c r="E72" s="5">
        <f ca="1">AVERAGE(D7:D42)</f>
        <v>1.9347228317374756E-2</v>
      </c>
      <c r="F72" s="5">
        <f ca="1">AVERAGE(H7:H42)</f>
        <v>5.9875910932308636E-3</v>
      </c>
      <c r="G72" s="5">
        <f ca="1">AVERAGE(L7:L42)</f>
        <v>6.9724023057003244E-3</v>
      </c>
      <c r="H72" s="5">
        <f ca="1">AVERAGE(P7:P42)</f>
        <v>2.2310620674959779E-2</v>
      </c>
    </row>
    <row r="75" spans="2:16" x14ac:dyDescent="0.3">
      <c r="C75" s="8" t="s">
        <v>8</v>
      </c>
      <c r="D75" t="s">
        <v>9</v>
      </c>
    </row>
    <row r="76" spans="2:16" x14ac:dyDescent="0.3">
      <c r="D76" s="5"/>
      <c r="E76" s="6" t="s">
        <v>1</v>
      </c>
      <c r="F76" s="6" t="s">
        <v>2</v>
      </c>
      <c r="G76" s="6" t="s">
        <v>3</v>
      </c>
      <c r="H76" s="6" t="s">
        <v>4</v>
      </c>
    </row>
    <row r="77" spans="2:16" x14ac:dyDescent="0.3">
      <c r="D77" s="6" t="s">
        <v>10</v>
      </c>
      <c r="E77" s="5">
        <f ca="1">E71*SQRT(12)</f>
        <v>0.24893987968399214</v>
      </c>
      <c r="F77" s="5">
        <f ca="1">F71*SQRT(12)</f>
        <v>0.18274406022511422</v>
      </c>
      <c r="G77" s="5">
        <f ca="1">G71*SQRT(12)</f>
        <v>0.16116013573881702</v>
      </c>
      <c r="H77" s="5">
        <f ca="1">H71*SQRT(12)</f>
        <v>0.30489612527867116</v>
      </c>
      <c r="I77" t="s">
        <v>11</v>
      </c>
    </row>
    <row r="78" spans="2:16" x14ac:dyDescent="0.3">
      <c r="D78" s="6" t="s">
        <v>12</v>
      </c>
      <c r="E78" s="5">
        <f ca="1">E72*12</f>
        <v>0.23216673980849706</v>
      </c>
      <c r="F78" s="5">
        <f ca="1">F72*12</f>
        <v>7.1851093118770359E-2</v>
      </c>
      <c r="G78" s="5">
        <f ca="1">G72*12</f>
        <v>8.3668827668403889E-2</v>
      </c>
      <c r="H78" s="5">
        <f ca="1">H72*12</f>
        <v>0.26772744809951732</v>
      </c>
      <c r="I78" t="s">
        <v>13</v>
      </c>
    </row>
    <row r="80" spans="2:16" x14ac:dyDescent="0.3">
      <c r="C80" s="8" t="s">
        <v>14</v>
      </c>
      <c r="D80" s="8" t="s">
        <v>15</v>
      </c>
    </row>
    <row r="81" spans="3:57" x14ac:dyDescent="0.3">
      <c r="D81" t="s">
        <v>16</v>
      </c>
    </row>
    <row r="84" spans="3:57" x14ac:dyDescent="0.3">
      <c r="R84" t="s">
        <v>17</v>
      </c>
    </row>
    <row r="86" spans="3:57" x14ac:dyDescent="0.3">
      <c r="G86" s="10" t="s">
        <v>18</v>
      </c>
      <c r="H86" s="5" t="s">
        <v>20</v>
      </c>
      <c r="I86" s="5" t="s">
        <v>21</v>
      </c>
      <c r="J86" s="5" t="s">
        <v>22</v>
      </c>
      <c r="K86" s="5" t="s">
        <v>23</v>
      </c>
      <c r="L86" s="5" t="s">
        <v>24</v>
      </c>
      <c r="M86" s="5" t="s">
        <v>25</v>
      </c>
      <c r="N86" s="5" t="s">
        <v>26</v>
      </c>
      <c r="O86" s="5" t="s">
        <v>27</v>
      </c>
      <c r="P86" s="5" t="s">
        <v>28</v>
      </c>
      <c r="Q86" s="5" t="s">
        <v>29</v>
      </c>
      <c r="R86" s="5" t="s">
        <v>30</v>
      </c>
      <c r="S86" s="5" t="s">
        <v>31</v>
      </c>
      <c r="T86" s="5" t="s">
        <v>32</v>
      </c>
      <c r="U86" s="5" t="s">
        <v>33</v>
      </c>
      <c r="V86" s="5" t="s">
        <v>34</v>
      </c>
      <c r="W86" s="5" t="s">
        <v>35</v>
      </c>
      <c r="X86" s="5" t="s">
        <v>36</v>
      </c>
      <c r="Y86" s="5" t="s">
        <v>37</v>
      </c>
      <c r="Z86" s="5" t="s">
        <v>38</v>
      </c>
      <c r="AA86" s="5" t="s">
        <v>39</v>
      </c>
      <c r="AB86" s="5" t="s">
        <v>40</v>
      </c>
      <c r="AC86" s="5" t="s">
        <v>41</v>
      </c>
      <c r="AD86" s="5" t="s">
        <v>42</v>
      </c>
      <c r="AE86" s="5" t="s">
        <v>43</v>
      </c>
      <c r="AF86" s="5" t="s">
        <v>44</v>
      </c>
      <c r="AG86" s="5" t="s">
        <v>45</v>
      </c>
      <c r="AH86" s="5" t="s">
        <v>46</v>
      </c>
      <c r="AI86" s="5" t="s">
        <v>47</v>
      </c>
      <c r="AJ86" s="5" t="s">
        <v>48</v>
      </c>
      <c r="AK86" s="5" t="s">
        <v>49</v>
      </c>
      <c r="AL86" s="5" t="s">
        <v>50</v>
      </c>
      <c r="AM86" s="5" t="s">
        <v>51</v>
      </c>
      <c r="AN86" s="5" t="s">
        <v>52</v>
      </c>
      <c r="AO86" s="5" t="s">
        <v>53</v>
      </c>
      <c r="AP86" s="5" t="s">
        <v>54</v>
      </c>
      <c r="AQ86" s="5" t="s">
        <v>55</v>
      </c>
      <c r="AR86" s="5" t="s">
        <v>56</v>
      </c>
      <c r="AS86" s="5" t="s">
        <v>57</v>
      </c>
      <c r="AT86" s="5" t="s">
        <v>58</v>
      </c>
      <c r="AU86" s="5" t="s">
        <v>59</v>
      </c>
      <c r="AV86" s="5" t="s">
        <v>60</v>
      </c>
      <c r="AW86" s="5" t="s">
        <v>61</v>
      </c>
      <c r="AX86" s="5" t="s">
        <v>62</v>
      </c>
      <c r="AY86" s="5" t="s">
        <v>63</v>
      </c>
      <c r="AZ86" s="5" t="s">
        <v>64</v>
      </c>
      <c r="BA86" s="5" t="s">
        <v>65</v>
      </c>
      <c r="BB86" s="5" t="s">
        <v>66</v>
      </c>
      <c r="BC86" s="5" t="s">
        <v>67</v>
      </c>
      <c r="BD86" s="5" t="s">
        <v>68</v>
      </c>
      <c r="BE86" s="5" t="s">
        <v>69</v>
      </c>
    </row>
    <row r="87" spans="3:57" x14ac:dyDescent="0.3">
      <c r="C87" t="s">
        <v>19</v>
      </c>
      <c r="G87" s="16" t="s">
        <v>1</v>
      </c>
      <c r="H87" s="20">
        <v>0.25</v>
      </c>
      <c r="I87" s="5">
        <v>0.113120964904142</v>
      </c>
      <c r="J87" s="5">
        <v>0.120823102837134</v>
      </c>
      <c r="K87" s="5">
        <v>0.20256397834468501</v>
      </c>
      <c r="L87" s="5">
        <v>0.52960818326224601</v>
      </c>
      <c r="M87" s="5">
        <v>0.52704168469596502</v>
      </c>
      <c r="N87" s="5">
        <v>0.26036026523227901</v>
      </c>
      <c r="O87" s="5">
        <v>2.7373109819893099E-3</v>
      </c>
      <c r="P87" s="5">
        <v>0.42364472100419298</v>
      </c>
      <c r="Q87" s="5">
        <v>0.166668966748062</v>
      </c>
      <c r="R87" s="5">
        <v>0.49222645472345999</v>
      </c>
      <c r="S87" s="5">
        <v>0.146870517091819</v>
      </c>
      <c r="T87" s="5">
        <v>0.28292838519476299</v>
      </c>
      <c r="U87" s="5">
        <v>0.60840439504746102</v>
      </c>
      <c r="V87" s="5">
        <v>0.17826695653784599</v>
      </c>
      <c r="W87" s="5">
        <v>0.24367299460625699</v>
      </c>
      <c r="X87" s="5">
        <v>0.14803129283955499</v>
      </c>
      <c r="Y87" s="5">
        <v>5.3367441914841003E-2</v>
      </c>
      <c r="Z87" s="5">
        <v>0.57116627078906701</v>
      </c>
      <c r="AA87" s="5">
        <v>0.25760481211921799</v>
      </c>
      <c r="AB87" s="5">
        <v>0.10078179794754601</v>
      </c>
      <c r="AC87" s="5">
        <v>0.12505384979835199</v>
      </c>
      <c r="AD87" s="5">
        <v>0.25949461776090299</v>
      </c>
      <c r="AE87" s="5">
        <v>0.39949183470284499</v>
      </c>
      <c r="AF87" s="5">
        <v>0.10622738034868701</v>
      </c>
      <c r="AG87" s="5">
        <v>0.60762667446206298</v>
      </c>
      <c r="AH87" s="5">
        <v>0.52947865547045403</v>
      </c>
      <c r="AI87" s="5">
        <v>0.69354208983522303</v>
      </c>
      <c r="AJ87" s="5">
        <v>0.14105242145021901</v>
      </c>
      <c r="AK87" s="5">
        <v>0.52311984059743399</v>
      </c>
      <c r="AL87" s="5">
        <v>0.70304579538669199</v>
      </c>
      <c r="AM87" s="5">
        <v>0.208946930327605</v>
      </c>
      <c r="AN87" s="5">
        <v>0.14434053931010701</v>
      </c>
      <c r="AO87" s="5">
        <v>0.14474676186042201</v>
      </c>
      <c r="AP87" s="5">
        <v>0.17763119038005501</v>
      </c>
      <c r="AQ87" s="5">
        <v>0.259710602547011</v>
      </c>
      <c r="AR87" s="5">
        <v>0.25347361161127102</v>
      </c>
      <c r="AS87" s="5">
        <v>0.46226031826508801</v>
      </c>
      <c r="AT87" s="5">
        <v>4.3120220318264298E-2</v>
      </c>
      <c r="AU87" s="5">
        <v>0.13549052447986801</v>
      </c>
      <c r="AV87" s="5">
        <v>0.240317524170198</v>
      </c>
      <c r="AW87" s="5">
        <v>2.5932320723910201E-2</v>
      </c>
      <c r="AX87" s="5">
        <v>6.4465706502266004E-2</v>
      </c>
      <c r="AY87" s="5">
        <v>0.112576213349054</v>
      </c>
      <c r="AZ87" s="5">
        <v>0.54602574882436805</v>
      </c>
      <c r="BA87" s="5">
        <v>0.25797006927959498</v>
      </c>
      <c r="BB87" s="5">
        <v>6.4564039926420499E-2</v>
      </c>
      <c r="BC87" s="5">
        <v>0.21201273943570301</v>
      </c>
      <c r="BD87" s="5">
        <v>2.13283682838722E-2</v>
      </c>
      <c r="BE87" s="5">
        <v>0.131913268447094</v>
      </c>
    </row>
    <row r="88" spans="3:57" x14ac:dyDescent="0.3">
      <c r="G88" s="16" t="s">
        <v>2</v>
      </c>
      <c r="H88" s="20">
        <v>0.25</v>
      </c>
      <c r="I88" s="5">
        <v>0.38736237350813901</v>
      </c>
      <c r="J88" s="5">
        <v>0.56630291019993095</v>
      </c>
      <c r="K88" s="5">
        <v>8.0907057565147197E-2</v>
      </c>
      <c r="L88" s="5">
        <v>0.24012695346614801</v>
      </c>
      <c r="M88" s="5">
        <v>0.165045786013371</v>
      </c>
      <c r="N88" s="5">
        <v>0.29847454474624902</v>
      </c>
      <c r="O88" s="5">
        <v>0.27938266220618402</v>
      </c>
      <c r="P88" s="5">
        <v>8.6945221529316205E-2</v>
      </c>
      <c r="Q88" s="5">
        <v>0.40499235477269402</v>
      </c>
      <c r="R88" s="5">
        <v>0.180225701766033</v>
      </c>
      <c r="S88" s="5">
        <v>6.8283728137833594E-2</v>
      </c>
      <c r="T88" s="5">
        <v>0.36006211389308002</v>
      </c>
      <c r="U88" s="5">
        <v>0.256162377593046</v>
      </c>
      <c r="V88" s="5">
        <v>0.27222758978686801</v>
      </c>
      <c r="W88" s="5">
        <v>0.41157368422319801</v>
      </c>
      <c r="X88" s="5">
        <v>0.15018758319842801</v>
      </c>
      <c r="Y88" s="5">
        <v>0.53358756634960602</v>
      </c>
      <c r="Z88" s="5">
        <v>8.0544683091254399E-2</v>
      </c>
      <c r="AA88" s="5">
        <v>0.16013417731433999</v>
      </c>
      <c r="AB88" s="5">
        <v>0.216389919589525</v>
      </c>
      <c r="AC88" s="5">
        <v>0.110533473277464</v>
      </c>
      <c r="AD88" s="5">
        <v>9.3600345682126898E-2</v>
      </c>
      <c r="AE88" s="5">
        <v>0.15944314926810199</v>
      </c>
      <c r="AF88" s="5">
        <v>1.3096915302425601E-2</v>
      </c>
      <c r="AG88" s="5">
        <v>0.128600104871049</v>
      </c>
      <c r="AH88" s="5">
        <v>0.226701365749231</v>
      </c>
      <c r="AI88" s="5">
        <v>0.142379778141564</v>
      </c>
      <c r="AJ88" s="5">
        <v>0.35272525615425998</v>
      </c>
      <c r="AK88" s="5">
        <v>0.187269943364854</v>
      </c>
      <c r="AL88" s="5">
        <v>0.15515366522166699</v>
      </c>
      <c r="AM88" s="5">
        <v>2.9509729383352001E-2</v>
      </c>
      <c r="AN88" s="5">
        <v>0.184880492882638</v>
      </c>
      <c r="AO88" s="5">
        <v>0.29687297477073099</v>
      </c>
      <c r="AP88" s="5">
        <v>0.165987969691376</v>
      </c>
      <c r="AQ88" s="5">
        <v>4.0110529808662899E-2</v>
      </c>
      <c r="AR88" s="5">
        <v>8.2638121715844698E-2</v>
      </c>
      <c r="AS88" s="5">
        <v>7.6051148992755599E-2</v>
      </c>
      <c r="AT88" s="5">
        <v>0.290157319934505</v>
      </c>
      <c r="AU88" s="5">
        <v>0.49340947134886198</v>
      </c>
      <c r="AV88" s="5">
        <v>0.39842173766279299</v>
      </c>
      <c r="AW88" s="5">
        <v>0.68696219082995102</v>
      </c>
      <c r="AX88" s="5">
        <v>0.430665323099715</v>
      </c>
      <c r="AY88" s="5">
        <v>0.535036988406284</v>
      </c>
      <c r="AZ88" s="5">
        <v>0.122995602899013</v>
      </c>
      <c r="BA88" s="5">
        <v>3.9249414958153199E-2</v>
      </c>
      <c r="BB88" s="5">
        <v>0.45312568657249103</v>
      </c>
      <c r="BC88" s="5">
        <v>8.4254799003119593E-2</v>
      </c>
      <c r="BD88" s="5">
        <v>8.0209509615485397E-2</v>
      </c>
      <c r="BE88" s="5">
        <v>0.17305266005991701</v>
      </c>
    </row>
    <row r="89" spans="3:57" x14ac:dyDescent="0.3">
      <c r="G89" s="16" t="s">
        <v>3</v>
      </c>
      <c r="H89" s="20">
        <v>0.25</v>
      </c>
      <c r="I89" s="5">
        <v>0.237485352462323</v>
      </c>
      <c r="J89" s="5">
        <v>0.222554203597047</v>
      </c>
      <c r="K89" s="5">
        <v>0.37776782594504499</v>
      </c>
      <c r="L89" s="5">
        <v>9.4904526606022596E-2</v>
      </c>
      <c r="M89" s="5">
        <v>1.6869200133222399E-2</v>
      </c>
      <c r="N89" s="5">
        <v>8.6125584406953101E-2</v>
      </c>
      <c r="O89" s="5">
        <v>0.53117839882899898</v>
      </c>
      <c r="P89" s="5">
        <v>0.42856564784263002</v>
      </c>
      <c r="Q89" s="5">
        <v>0.33622667679532903</v>
      </c>
      <c r="R89" s="5">
        <v>8.5970523897466594E-2</v>
      </c>
      <c r="S89" s="5">
        <v>0.154716727390698</v>
      </c>
      <c r="T89" s="5">
        <v>0.239399735114767</v>
      </c>
      <c r="U89" s="5">
        <v>0.119081285325936</v>
      </c>
      <c r="V89" s="5">
        <v>0.17995191921667</v>
      </c>
      <c r="W89" s="5">
        <v>0.32078526378503402</v>
      </c>
      <c r="X89" s="5">
        <v>0.62375577150231498</v>
      </c>
      <c r="Y89" s="5">
        <v>0.22864006249233801</v>
      </c>
      <c r="Z89" s="5">
        <v>0.178303863952818</v>
      </c>
      <c r="AA89" s="5">
        <v>4.9236593142923703E-2</v>
      </c>
      <c r="AB89" s="5">
        <v>0.18368038958103899</v>
      </c>
      <c r="AC89" s="5">
        <v>0.448902754689605</v>
      </c>
      <c r="AD89" s="5">
        <v>2.84230276858649E-2</v>
      </c>
      <c r="AE89" s="5">
        <v>0.145472764425854</v>
      </c>
      <c r="AF89" s="5">
        <v>0.60811154076844698</v>
      </c>
      <c r="AG89" s="5">
        <v>4.2566284023266503E-2</v>
      </c>
      <c r="AH89" s="5">
        <v>0.19991688521933701</v>
      </c>
      <c r="AI89" s="5">
        <v>6.5641282745708102E-2</v>
      </c>
      <c r="AJ89" s="5">
        <v>0.29582055598642099</v>
      </c>
      <c r="AK89" s="5">
        <v>0.12320649142015801</v>
      </c>
      <c r="AL89" s="5">
        <v>9.3657360204928902E-2</v>
      </c>
      <c r="AM89" s="5">
        <v>0.43106681126489599</v>
      </c>
      <c r="AN89" s="5">
        <v>0.23917571790425701</v>
      </c>
      <c r="AO89" s="5">
        <v>6.85668311144845E-2</v>
      </c>
      <c r="AP89" s="5">
        <v>0.60267439982087001</v>
      </c>
      <c r="AQ89" s="5">
        <v>0.32697164309653698</v>
      </c>
      <c r="AR89" s="5">
        <v>0.63754520980929197</v>
      </c>
      <c r="AS89" s="5">
        <v>4.0985400109451002E-2</v>
      </c>
      <c r="AT89" s="5">
        <v>0.29843733215742302</v>
      </c>
      <c r="AU89" s="5">
        <v>6.0437278903745797E-2</v>
      </c>
      <c r="AV89" s="5">
        <v>2.6633378279337001E-2</v>
      </c>
      <c r="AW89" s="5">
        <v>0.24757556647812201</v>
      </c>
      <c r="AX89" s="5">
        <v>4.6919103056532897E-3</v>
      </c>
      <c r="AY89" s="5">
        <v>4.43458531563529E-2</v>
      </c>
      <c r="AZ89" s="5">
        <v>0.121226317188249</v>
      </c>
      <c r="BA89" s="5">
        <v>0.17720422749784301</v>
      </c>
      <c r="BB89" s="5">
        <v>0.44405345409039199</v>
      </c>
      <c r="BC89" s="5">
        <v>0.12719193184585101</v>
      </c>
      <c r="BD89" s="5">
        <v>0.68489029755342301</v>
      </c>
      <c r="BE89" s="5">
        <v>0.27110479591558501</v>
      </c>
    </row>
    <row r="90" spans="3:57" ht="15" thickBot="1" x14ac:dyDescent="0.35">
      <c r="D90" s="27" t="s">
        <v>1</v>
      </c>
      <c r="E90" s="27" t="s">
        <v>2</v>
      </c>
      <c r="F90" s="28" t="s">
        <v>3</v>
      </c>
      <c r="G90" s="28" t="s">
        <v>4</v>
      </c>
      <c r="H90" s="29">
        <v>0.25</v>
      </c>
      <c r="I90" s="30">
        <v>0.26203130912539402</v>
      </c>
      <c r="J90" s="30">
        <v>9.0319783365885906E-2</v>
      </c>
      <c r="K90" s="30">
        <v>0.33876113814512199</v>
      </c>
      <c r="L90" s="30">
        <v>0.135360336665582</v>
      </c>
      <c r="M90" s="30">
        <v>0.29104332915744002</v>
      </c>
      <c r="N90" s="30">
        <v>0.35503960561451697</v>
      </c>
      <c r="O90" s="30">
        <v>0.186701627982827</v>
      </c>
      <c r="P90" s="30">
        <v>6.0844409623859799E-2</v>
      </c>
      <c r="Q90" s="30">
        <v>9.2112001683913994E-2</v>
      </c>
      <c r="R90" s="30">
        <v>0.24157731961303899</v>
      </c>
      <c r="S90" s="30">
        <v>0.63012902737964704</v>
      </c>
      <c r="T90" s="30">
        <v>0.11760976579738799</v>
      </c>
      <c r="U90" s="30">
        <v>1.6351942033555601E-2</v>
      </c>
      <c r="V90" s="30">
        <v>0.369553534458614</v>
      </c>
      <c r="W90" s="30">
        <v>2.3968057385509299E-2</v>
      </c>
      <c r="X90" s="30">
        <v>7.8025352459699701E-2</v>
      </c>
      <c r="Y90" s="30">
        <v>0.184404929243214</v>
      </c>
      <c r="Z90" s="30">
        <v>0.16998518216685901</v>
      </c>
      <c r="AA90" s="30">
        <v>0.53302441742351703</v>
      </c>
      <c r="AB90" s="30">
        <v>0.49914789288188799</v>
      </c>
      <c r="AC90" s="30">
        <v>0.31550992223457702</v>
      </c>
      <c r="AD90" s="30">
        <v>0.61848200887110405</v>
      </c>
      <c r="AE90" s="30">
        <v>0.29559225160319702</v>
      </c>
      <c r="AF90" s="30">
        <v>0.272564163580439</v>
      </c>
      <c r="AG90" s="30">
        <v>0.22120693664362001</v>
      </c>
      <c r="AH90" s="30">
        <v>4.3903093560976603E-2</v>
      </c>
      <c r="AI90" s="30">
        <v>9.8436849277503194E-2</v>
      </c>
      <c r="AJ90" s="30">
        <v>0.210401766409098</v>
      </c>
      <c r="AK90" s="30">
        <v>0.16640372461755201</v>
      </c>
      <c r="AL90" s="30">
        <v>4.8143179186711398E-2</v>
      </c>
      <c r="AM90" s="30">
        <v>0.33047652902414498</v>
      </c>
      <c r="AN90" s="30">
        <v>0.43160324990299698</v>
      </c>
      <c r="AO90" s="30">
        <v>0.48981343225436103</v>
      </c>
      <c r="AP90" s="30">
        <v>5.37064401076972E-2</v>
      </c>
      <c r="AQ90" s="30">
        <v>0.37320722454778799</v>
      </c>
      <c r="AR90" s="30">
        <v>2.63430568635908E-2</v>
      </c>
      <c r="AS90" s="30">
        <v>0.42070313263270498</v>
      </c>
      <c r="AT90" s="30">
        <v>0.36828512758980603</v>
      </c>
      <c r="AU90" s="30">
        <v>0.31066272526752298</v>
      </c>
      <c r="AV90" s="30">
        <v>0.33462735988767001</v>
      </c>
      <c r="AW90" s="30">
        <v>3.9529921968016198E-2</v>
      </c>
      <c r="AX90" s="30">
        <v>0.50017706009236496</v>
      </c>
      <c r="AY90" s="30">
        <v>0.30804094508830798</v>
      </c>
      <c r="AZ90" s="30">
        <v>0.20975233108836699</v>
      </c>
      <c r="BA90" s="30">
        <v>0.52557628826440705</v>
      </c>
      <c r="BB90" s="30">
        <v>3.8256819410695302E-2</v>
      </c>
      <c r="BC90" s="30">
        <v>0.57654052971532499</v>
      </c>
      <c r="BD90" s="30">
        <v>0.21357182454721799</v>
      </c>
      <c r="BE90" s="30">
        <v>0.42392927557740201</v>
      </c>
    </row>
    <row r="91" spans="3:57" x14ac:dyDescent="0.3">
      <c r="D91" s="9">
        <v>0.13632616828355837</v>
      </c>
      <c r="E91" s="9">
        <v>0.14420803782505898</v>
      </c>
      <c r="F91" s="9">
        <v>7.2610604525498168E-2</v>
      </c>
      <c r="G91" s="9">
        <v>0.14172066465644462</v>
      </c>
      <c r="H91" s="25" cm="1">
        <f t="array" ref="H91">MMULT($D91:$G91,H$87:H$90)</f>
        <v>0.12371636882264003</v>
      </c>
      <c r="I91" s="26" cm="1">
        <f t="array" ref="I91">MMULT($D91:$G91,I$87:I$90)</f>
        <v>0.12566132180707631</v>
      </c>
      <c r="J91" s="26" cm="1">
        <f t="array" ref="J91">MMULT($D91:$G91,J$87:J$90)</f>
        <v>0.12709675713758126</v>
      </c>
      <c r="K91" s="26" cm="1">
        <f t="array" ref="K91">MMULT($D91:$G91,K$87:K$90)</f>
        <v>0.1147216228875268</v>
      </c>
      <c r="L91" s="26" cm="1">
        <f t="array" ref="L91">MMULT($D91:$G91,L$87:L$90)</f>
        <v>0.13290212303345694</v>
      </c>
      <c r="M91" s="26" cm="1">
        <f t="array" ref="M91">MMULT($D91:$G91,M$87:M$90)</f>
        <v>0.13812223922414671</v>
      </c>
      <c r="N91" s="26" cm="1">
        <f t="array" ref="N91">MMULT($D91:$G91,N$87:N$90)</f>
        <v>0.1351064254069439</v>
      </c>
      <c r="O91" s="26" cm="1">
        <f t="array" ref="O91">MMULT($D91:$G91,O$87:O$90)</f>
        <v>0.10569105609669645</v>
      </c>
      <c r="P91" s="26" cm="1">
        <f t="array" ref="P91">MMULT($D91:$G91,P$87:P$90)</f>
        <v>0.11003338226430402</v>
      </c>
      <c r="Q91" s="26" cm="1">
        <f t="array" ref="Q91">MMULT($D91:$G91,Q$87:Q$90)</f>
        <v>0.11859229078565142</v>
      </c>
      <c r="R91" s="26" cm="1">
        <f t="array" ref="R91">MMULT($D91:$G91,R$87:R$90)</f>
        <v>0.13357221133062469</v>
      </c>
      <c r="S91" s="26" cm="1">
        <f t="array" ref="S91">MMULT($D91:$G91,S$87:S$90)</f>
        <v>0.13040573696469715</v>
      </c>
      <c r="T91" s="26" cm="1">
        <f t="array" ref="T91">MMULT($D91:$G91,T$87:T$90)</f>
        <v>0.12454508726074263</v>
      </c>
      <c r="U91" s="26" cm="1">
        <f t="array" ref="U91">MMULT($D91:$G91,U$87:U$90)</f>
        <v>0.1308460859896004</v>
      </c>
      <c r="V91" s="26" cm="1">
        <f t="array" ref="V91">MMULT($D91:$G91,V$87:V$90)</f>
        <v>0.12899964785084458</v>
      </c>
      <c r="W91" s="26" cm="1">
        <f t="array" ref="W91">MMULT($D91:$G91,W$87:W$90)</f>
        <v>0.11926042004060991</v>
      </c>
      <c r="X91" s="26" cm="1">
        <f t="array" ref="X91">MMULT($D91:$G91,X$87:X$90)</f>
        <v>9.8187884073304574E-2</v>
      </c>
      <c r="Y91" s="26" cm="1">
        <f t="array" ref="Y91">MMULT($D91:$G91,Y$87:Y$90)</f>
        <v>0.12695867711306005</v>
      </c>
      <c r="Z91" s="26" cm="1">
        <f t="array" ref="Z91">MMULT($D91:$G91,Z$87:Z$90)</f>
        <v>0.12651726420459419</v>
      </c>
      <c r="AA91" s="26" cm="1">
        <f t="array" ref="AA91">MMULT($D91:$G91,AA$87:AA$90)</f>
        <v>0.13732658597510869</v>
      </c>
      <c r="AB91" s="26" cm="1">
        <f t="array" ref="AB91">MMULT($D91:$G91,AB$87:AB$90)</f>
        <v>0.12902107732408769</v>
      </c>
      <c r="AC91" s="26" cm="1">
        <f t="array" ref="AC91">MMULT($D91:$G91,AC$87:AC$90)</f>
        <v>0.11029730374340968</v>
      </c>
      <c r="AD91" s="26" cm="1">
        <f t="array" ref="AD91">MMULT($D91:$G91,AD$87:AD$90)</f>
        <v>0.13858932371809884</v>
      </c>
      <c r="AE91" s="26" cm="1">
        <f t="array" ref="AE91">MMULT($D91:$G91,AE$87:AE$90)</f>
        <v>0.12990857051766522</v>
      </c>
      <c r="AF91" s="26" cm="1">
        <f t="array" ref="AF91">MMULT($D91:$G91,AF$87:AF$90)</f>
        <v>9.9153573205337214E-2</v>
      </c>
      <c r="AG91" s="26" cm="1">
        <f t="array" ref="AG91">MMULT($D91:$G91,AG$87:AG$90)</f>
        <v>0.13582094276692822</v>
      </c>
      <c r="AH91" s="26" cm="1">
        <f t="array" ref="AH91">MMULT($D91:$G91,AH$87:AH$90)</f>
        <v>0.12561201690574134</v>
      </c>
      <c r="AI91" s="26" cm="1">
        <f t="array" ref="AI91">MMULT($D91:$G91,AI$87:AI$90)</f>
        <v>0.13379703301065857</v>
      </c>
      <c r="AJ91" s="26" cm="1">
        <f t="array" ref="AJ91">MMULT($D91:$G91,AJ$87:AJ$90)</f>
        <v>0.12139294080640348</v>
      </c>
      <c r="AK91" s="26" cm="1">
        <f t="array" ref="AK91">MMULT($D91:$G91,AK$87:AK$90)</f>
        <v>0.13084969877560026</v>
      </c>
      <c r="AL91" s="26" cm="1">
        <f t="array" ref="AL91">MMULT($D91:$G91,AL$87:AL$90)</f>
        <v>0.13184134593167429</v>
      </c>
      <c r="AM91" s="26" cm="1">
        <f t="array" ref="AM91">MMULT($D91:$G91,AM$87:AM$90)</f>
        <v>0.11087584966077527</v>
      </c>
      <c r="AN91" s="26" cm="1">
        <f t="array" ref="AN91">MMULT($D91:$G91,AN$87:AN$90)</f>
        <v>0.12487243867184664</v>
      </c>
      <c r="AO91" s="26" cm="1">
        <f t="array" ref="AO91">MMULT($D91:$G91,AO$87:AO$90)</f>
        <v>0.13693960482522227</v>
      </c>
      <c r="AP91" s="26" cm="1">
        <f t="array" ref="AP91">MMULT($D91:$G91,AP$87:AP$90)</f>
        <v>9.9524443855348393E-2</v>
      </c>
      <c r="AQ91" s="26" cm="1">
        <f t="array" ref="AQ91">MMULT($D91:$G91,AQ$87:AQ$90)</f>
        <v>0.11782239669311345</v>
      </c>
      <c r="AR91" s="26" cm="1">
        <f t="array" ref="AR91">MMULT($D91:$G91,AR$87:AR$90)</f>
        <v>9.6498066238528662E-2</v>
      </c>
      <c r="AS91" s="26" cm="1">
        <f t="array" ref="AS91">MMULT($D91:$G91,AS$87:AS$90)</f>
        <v>0.1365836671676261</v>
      </c>
      <c r="AT91" s="26" cm="1">
        <f t="array" ref="AT91">MMULT($D91:$G91,AT$87:AT$90)</f>
        <v>0.12158476034590285</v>
      </c>
      <c r="AU91" s="26" cm="1">
        <f t="array" ref="AU91">MMULT($D91:$G91,AU$87:AU$90)</f>
        <v>0.13804023101456206</v>
      </c>
      <c r="AV91" s="26" cm="1">
        <f t="array" ref="AV91">MMULT($D91:$G91,AV$87:AV$90)</f>
        <v>0.13957466180964712</v>
      </c>
      <c r="AW91" s="26" cm="1">
        <f t="array" ref="AW91">MMULT($D91:$G91,AW$87:AW$90)</f>
        <v>0.12617954188142572</v>
      </c>
      <c r="AX91" s="26" cm="1">
        <f t="array" ref="AX91">MMULT($D91:$G91,AX$87:AX$90)</f>
        <v>0.14211987180252064</v>
      </c>
      <c r="AY91" s="26" cm="1">
        <f t="array" ref="AY91">MMULT($D91:$G91,AY$87:AY$90)</f>
        <v>0.13937946475284407</v>
      </c>
      <c r="AZ91" s="26" cm="1">
        <f t="array" ref="AZ91">MMULT($D91:$G91,AZ$87:AZ$90)</f>
        <v>0.13070310862708412</v>
      </c>
      <c r="BA91" s="26" cm="1">
        <f t="array" ref="BA91">MMULT($D91:$G91,BA$87:BA$90)</f>
        <v>0.12818007917721924</v>
      </c>
      <c r="BB91" s="26" cm="1">
        <f t="array" ref="BB91">MMULT($D91:$G91,BB$87:BB$90)</f>
        <v>0.11181090593849141</v>
      </c>
      <c r="BC91" s="26" cm="1">
        <f t="array" ref="BC91">MMULT($D91:$G91,BC$87:BC$90)</f>
        <v>0.13199629377088218</v>
      </c>
      <c r="BD91" s="26" cm="1">
        <f t="array" ref="BD91">MMULT($D91:$G91,BD$87:BD$90)</f>
        <v>9.4472310186163894E-2</v>
      </c>
      <c r="BE91" s="26" cm="1">
        <f t="array" ref="BE91">MMULT($D91:$G91,BE$87:BE$90)</f>
        <v>0.12270343680414726</v>
      </c>
    </row>
    <row r="92" spans="3:57" x14ac:dyDescent="0.3">
      <c r="D92" s="9">
        <v>2.2543384855755688E-2</v>
      </c>
      <c r="E92" s="9">
        <v>-8.5977072780590857E-3</v>
      </c>
      <c r="F92" s="9">
        <v>2.5881612090679962E-2</v>
      </c>
      <c r="G92" s="9">
        <v>0.13446841986963354</v>
      </c>
      <c r="H92" s="21" cm="1">
        <f t="array" ref="H92">MMULT($D92:$G92,H$87:H$90)</f>
        <v>4.3573927384502525E-2</v>
      </c>
      <c r="I92" s="11" cm="1">
        <f t="array" ref="I92">MMULT($D92:$G92,I$87:I$90)</f>
        <v>4.060114101324281E-2</v>
      </c>
      <c r="J92" s="11" cm="1">
        <f t="array" ref="J92">MMULT($D92:$G92,J$87:J$90)</f>
        <v>1.5760075172939342E-2</v>
      </c>
      <c r="K92" s="11" cm="1">
        <f t="array" ref="K92">MMULT($D92:$G92,K$87:K$90)</f>
        <v>5.9200777815125338E-2</v>
      </c>
      <c r="L92" s="11" cm="1">
        <f t="array" ref="L92">MMULT($D92:$G92,L$87:L$90)</f>
        <v>3.0532592570273468E-2</v>
      </c>
      <c r="M92" s="11" cm="1">
        <f t="array" ref="M92">MMULT($D92:$G92,M$87:M$90)</f>
        <v>5.0035026857033552E-2</v>
      </c>
      <c r="N92" s="11" cm="1">
        <f t="array" ref="N92">MMULT($D92:$G92,N$87:N$90)</f>
        <v>5.3273888619423539E-2</v>
      </c>
      <c r="O92" s="11" cm="1">
        <f t="array" ref="O92">MMULT($D92:$G92,O$87:O$90)</f>
        <v>3.6512884078102784E-2</v>
      </c>
      <c r="P92" s="11" cm="1">
        <f t="array" ref="P92">MMULT($D92:$G92,P$87:P$90)</f>
        <v>2.8076477896646759E-2</v>
      </c>
      <c r="Q92" s="11" cm="1">
        <f t="array" ref="Q92">MMULT($D92:$G92,Q$87:Q$90)</f>
        <v>2.1363520685545302E-2</v>
      </c>
      <c r="R92" s="11" cm="1">
        <f t="array" ref="R92">MMULT($D92:$G92,R$87:R$90)</f>
        <v>4.4256498772701575E-2</v>
      </c>
      <c r="S92" s="11" cm="1">
        <f t="array" ref="S92">MMULT($D92:$G92,S$87:S$90)</f>
        <v>9.1460648032376773E-2</v>
      </c>
      <c r="T92" s="11" cm="1">
        <f t="array" ref="T92">MMULT($D92:$G92,T$87:T$90)</f>
        <v>2.5293305263755526E-2</v>
      </c>
      <c r="U92" s="11" cm="1">
        <f t="array" ref="U92">MMULT($D92:$G92,U$87:U$90)</f>
        <v>1.6793920728409004E-2</v>
      </c>
      <c r="V92" s="11" cm="1">
        <f t="array" ref="V92">MMULT($D92:$G92,V$87:V$90)</f>
        <v>5.6028933082325115E-2</v>
      </c>
      <c r="W92" s="11" cm="1">
        <f t="array" ref="W92">MMULT($D92:$G92,W$87:W$90)</f>
        <v>1.3480010601724782E-2</v>
      </c>
      <c r="X92" s="11" cm="1">
        <f t="array" ref="X92">MMULT($D92:$G92,X$87:X$90)</f>
        <v>2.8681608300410694E-2</v>
      </c>
      <c r="Y92" s="11" cm="1">
        <f t="array" ref="Y92">MMULT($D92:$G92,Y$87:Y$90)</f>
        <v>2.7329665936489687E-2</v>
      </c>
      <c r="Z92" s="11" cm="1">
        <f t="array" ref="Z92">MMULT($D92:$G92,Z$87:Z$90)</f>
        <v>3.9655951739327615E-2</v>
      </c>
      <c r="AA92" s="11" cm="1">
        <f t="array" ref="AA92">MMULT($D92:$G92,AA$87:AA$90)</f>
        <v>7.7379771205800751E-2</v>
      </c>
      <c r="AB92" s="11" cm="1">
        <f t="array" ref="AB92">MMULT($D92:$G92,AB$87:AB$90)</f>
        <v>7.2285078699919056E-2</v>
      </c>
      <c r="AC92" s="11" cm="1">
        <f t="array" ref="AC92">MMULT($D92:$G92,AC$87:AC$90)</f>
        <v>5.5913250275419865E-2</v>
      </c>
      <c r="AD92" s="11" cm="1">
        <f t="array" ref="AD92">MMULT($D92:$G92,AD$87:AD$90)</f>
        <v>8.894707089058343E-2</v>
      </c>
      <c r="AE92" s="11" cm="1">
        <f t="array" ref="AE92">MMULT($D92:$G92,AE$87:AE$90)</f>
        <v>5.1147945308957027E-2</v>
      </c>
      <c r="AF92" s="11" cm="1">
        <f t="array" ref="AF92">MMULT($D92:$G92,AF$87:AF$90)</f>
        <v>5.4672300669188004E-2</v>
      </c>
      <c r="AG92" s="11" cm="1">
        <f t="array" ref="AG92">MMULT($D92:$G92,AG$87:AG$90)</f>
        <v>4.3439327199313892E-2</v>
      </c>
      <c r="AH92" s="11" cm="1">
        <f t="array" ref="AH92">MMULT($D92:$G92,AH$87:AH$90)</f>
        <v>2.1064880013087494E-2</v>
      </c>
      <c r="AI92" s="11" cm="1">
        <f t="array" ref="AI92">MMULT($D92:$G92,AI$87:AI$90)</f>
        <v>2.934619638649455E-2</v>
      </c>
      <c r="AJ92" s="11" cm="1">
        <f t="array" ref="AJ92">MMULT($D92:$G92,AJ$87:AJ$90)</f>
        <v>3.6095876464896766E-2</v>
      </c>
      <c r="AK92" s="11" cm="1">
        <f t="array" ref="AK92">MMULT($D92:$G92,AK$87:AK$90)</f>
        <v>3.574762826497388E-2</v>
      </c>
      <c r="AL92" s="11" cm="1">
        <f t="array" ref="AL92">MMULT($D92:$G92,AL$87:AL$90)</f>
        <v>2.341280683892796E-2</v>
      </c>
      <c r="AM92" s="11" cm="1">
        <f t="array" ref="AM92">MMULT($D92:$G92,AM$87:AM$90)</f>
        <v>6.0052015705913425E-2</v>
      </c>
      <c r="AN92" s="11" cm="1">
        <f t="array" ref="AN92">MMULT($D92:$G92,AN$87:AN$90)</f>
        <v>6.5891636146089311E-2</v>
      </c>
      <c r="AO92" s="11" cm="1">
        <f t="array" ref="AO92">MMULT($D92:$G92,AO$87:AO$90)</f>
        <v>6.8349713414756527E-2</v>
      </c>
      <c r="AP92" s="11" cm="1">
        <f t="array" ref="AP92">MMULT($D92:$G92,AP$87:AP$90)</f>
        <v>2.5397297483290063E-2</v>
      </c>
      <c r="AQ92" s="11" cm="1">
        <f t="array" ref="AQ92">MMULT($D92:$G92,AQ$87:AQ$90)</f>
        <v>6.4157036470424117E-2</v>
      </c>
      <c r="AR92" s="11" cm="1">
        <f t="array" ref="AR92">MMULT($D92:$G92,AR$87:AR$90)</f>
        <v>2.5046661838347997E-2</v>
      </c>
      <c r="AS92" s="11" cm="1">
        <f t="array" ref="AS92">MMULT($D92:$G92,AS$87:AS$90)</f>
        <v>6.7399100447333035E-2</v>
      </c>
      <c r="AT92" s="11" cm="1">
        <f t="array" ref="AT92">MMULT($D92:$G92,AT$87:AT$90)</f>
        <v>5.5724146453080027E-2</v>
      </c>
      <c r="AU92" s="11" cm="1">
        <f t="array" ref="AU92">MMULT($D92:$G92,AU$87:AU$90)</f>
        <v>4.2150764822299326E-2</v>
      </c>
      <c r="AV92" s="11" cm="1">
        <f t="array" ref="AV92">MMULT($D92:$G92,AV$87:AV$90)</f>
        <v>4.767818405584312E-2</v>
      </c>
      <c r="AW92" s="11" cm="1">
        <f t="array" ref="AW92">MMULT($D92:$G92,AW$87:AW$90)</f>
        <v>6.4014833777580674E-3</v>
      </c>
      <c r="AX92" s="11" cm="1">
        <f t="array" ref="AX92">MMULT($D92:$G92,AX$87:AX$90)</f>
        <v>6.5129993977010928E-2</v>
      </c>
      <c r="AY92" s="11" cm="1">
        <f t="array" ref="AY92">MMULT($D92:$G92,AY$87:AY$90)</f>
        <v>4.0507278804276174E-2</v>
      </c>
      <c r="AZ92" s="11" cm="1">
        <f t="array" ref="AZ92">MMULT($D92:$G92,AZ$87:AZ$90)</f>
        <v>4.2594385448758723E-2</v>
      </c>
      <c r="BA92" s="11" cm="1">
        <f t="array" ref="BA92">MMULT($D92:$G92,BA$87:BA$90)</f>
        <v>8.0737807653180199E-2</v>
      </c>
      <c r="BB92" s="11" cm="1">
        <f t="array" ref="BB92">MMULT($D92:$G92,BB$87:BB$90)</f>
        <v>1.4196803288272058E-2</v>
      </c>
      <c r="BC92" s="11" cm="1">
        <f t="array" ref="BC92">MMULT($D92:$G92,BC$87:BC$90)</f>
        <v>8.487351294354134E-2</v>
      </c>
      <c r="BD92" s="11" cm="1">
        <f t="array" ref="BD92">MMULT($D92:$G92,BD$87:BD$90)</f>
        <v>4.6235926511465103E-2</v>
      </c>
      <c r="BE92" s="11" cm="1">
        <f t="array" ref="BE92">MMULT($D92:$G92,BE$87:BE$90)</f>
        <v>6.5507644450480629E-2</v>
      </c>
    </row>
    <row r="93" spans="3:57" x14ac:dyDescent="0.3">
      <c r="D93" s="9">
        <v>0.11055934515688937</v>
      </c>
      <c r="E93" s="9">
        <v>-5.4588235294117715E-2</v>
      </c>
      <c r="F93" s="9">
        <v>2.7377079368976709E-2</v>
      </c>
      <c r="G93" s="9">
        <v>0.10639457130120356</v>
      </c>
      <c r="H93" s="21" cm="1">
        <f t="array" ref="H93">MMULT($D93:$G93,H$87:H$90)</f>
        <v>4.7435690133237979E-2</v>
      </c>
      <c r="I93" s="11" cm="1">
        <f t="array" ref="I93">MMULT($D93:$G93,I$87:I$90)</f>
        <v>2.5741515559387071E-2</v>
      </c>
      <c r="J93" s="11" cm="1">
        <f t="array" ref="J93">MMULT($D93:$G93,J$87:J$90)</f>
        <v>-1.8529346532336431E-3</v>
      </c>
      <c r="K93" s="11" cm="1">
        <f t="array" ref="K93">MMULT($D93:$G93,K$87:K$90)</f>
        <v>6.4363293123243043E-2</v>
      </c>
      <c r="L93" s="11" cm="1">
        <f t="array" ref="L93">MMULT($D93:$G93,L$87:L$90)</f>
        <v>6.2444841043023461E-2</v>
      </c>
      <c r="M93" s="11" cm="1">
        <f t="array" ref="M93">MMULT($D93:$G93,M$87:M$90)</f>
        <v>8.0687084995888447E-2</v>
      </c>
      <c r="N93" s="11" cm="1">
        <f t="array" ref="N93">MMULT($D93:$G93,N$87:N$90)</f>
        <v>5.2624215345355461E-2</v>
      </c>
      <c r="O93" s="11" cm="1">
        <f t="array" ref="O93">MMULT($D93:$G93,O$87:O$90)</f>
        <v>1.9457781662348458E-2</v>
      </c>
      <c r="P93" s="11" cm="1">
        <f t="array" ref="P93">MMULT($D93:$G93,P$87:P$90)</f>
        <v>6.0298087356665156E-2</v>
      </c>
      <c r="Q93" s="11" cm="1">
        <f t="array" ref="Q93">MMULT($D93:$G93,Q$87:Q$90)</f>
        <v>1.5324115214439259E-2</v>
      </c>
      <c r="R93" s="11" cm="1">
        <f t="array" ref="R93">MMULT($D93:$G93,R$87:R$90)</f>
        <v>7.2638168701527867E-2</v>
      </c>
      <c r="S93" s="11" cm="1">
        <f t="array" ref="S93">MMULT($D93:$G93,S$87:S$90)</f>
        <v>8.378841983216298E-2</v>
      </c>
      <c r="T93" s="11" cm="1">
        <f t="array" ref="T93">MMULT($D93:$G93,T$87:T$90)</f>
        <v>3.0692327761733314E-2</v>
      </c>
      <c r="U93" s="11" cm="1">
        <f t="array" ref="U93">MMULT($D93:$G93,U$87:U$90)</f>
        <v>5.8281195027801075E-2</v>
      </c>
      <c r="V93" s="11" cm="1">
        <f t="array" ref="V93">MMULT($D93:$G93,V$87:V$90)</f>
        <v>4.9093702099663059E-2</v>
      </c>
      <c r="W93" s="11" cm="1">
        <f t="array" ref="W93">MMULT($D93:$G93,W$87:W$90)</f>
        <v>1.5805480418338087E-2</v>
      </c>
      <c r="X93" s="11" cm="1">
        <f t="array" ref="X93">MMULT($D93:$G93,X$87:X$90)</f>
        <v>3.3545852858029496E-2</v>
      </c>
      <c r="Y93" s="11" cm="1">
        <f t="array" ref="Y93">MMULT($D93:$G93,Y$87:Y$90)</f>
        <v>2.6518463393362737E-3</v>
      </c>
      <c r="Z93" s="11" cm="1">
        <f t="array" ref="Z93">MMULT($D93:$G93,Z$87:Z$90)</f>
        <v>8.1717916381297731E-2</v>
      </c>
      <c r="AA93" s="11" cm="1">
        <f t="array" ref="AA93">MMULT($D93:$G93,AA$87:AA$90)</f>
        <v>7.77980356904798E-2</v>
      </c>
      <c r="AB93" s="11" cm="1">
        <f t="array" ref="AB93">MMULT($D93:$G93,AB$87:AB$90)</f>
        <v>5.7465284422138635E-2</v>
      </c>
      <c r="AC93" s="11" cm="1">
        <f t="array" ref="AC93">MMULT($D93:$G93,AC$87:AC$90)</f>
        <v>5.3650233757421013E-2</v>
      </c>
      <c r="AD93" s="11" cm="1">
        <f t="array" ref="AD93">MMULT($D93:$G93,AD$87:AD$90)</f>
        <v>9.016134499388688E-2</v>
      </c>
      <c r="AE93" s="11" cm="1">
        <f t="array" ref="AE93">MMULT($D93:$G93,AE$87:AE$90)</f>
        <v>7.0895865798979246E-2</v>
      </c>
      <c r="AF93" s="11" cm="1">
        <f t="array" ref="AF93">MMULT($D93:$G93,AF$87:AF$90)</f>
        <v>5.667715736794713E-2</v>
      </c>
      <c r="AG93" s="11" cm="1">
        <f t="array" ref="AG93">MMULT($D93:$G93,AG$87:AG$90)</f>
        <v>8.485931217403285E-2</v>
      </c>
      <c r="AH93" s="11" cm="1">
        <f t="array" ref="AH93">MMULT($D93:$G93,AH$87:AH$90)</f>
        <v>5.6307777180411911E-2</v>
      </c>
      <c r="AI93" s="11" cm="1">
        <f t="array" ref="AI93">MMULT($D93:$G93,AI$87:AI$90)</f>
        <v>8.1175511447338658E-2</v>
      </c>
      <c r="AJ93" s="11" cm="1">
        <f t="array" ref="AJ93">MMULT($D93:$G93,AJ$87:AJ$90)</f>
        <v>2.6824322649530122E-2</v>
      </c>
      <c r="AK93" s="11" cm="1">
        <f t="array" ref="AK93">MMULT($D93:$G93,AK$87:AK$90)</f>
        <v>6.8690538121102693E-2</v>
      </c>
      <c r="AL93" s="11" cm="1">
        <f t="array" ref="AL93">MMULT($D93:$G93,AL$87:AL$90)</f>
        <v>7.6944955863858341E-2</v>
      </c>
      <c r="AM93" s="11" cm="1">
        <f t="array" ref="AM93">MMULT($D93:$G93,AM$87:AM$90)</f>
        <v>6.8452410674482461E-2</v>
      </c>
      <c r="AN93" s="11" cm="1">
        <f t="array" ref="AN93">MMULT($D93:$G93,AN$87:AN$90)</f>
        <v>5.8334071016780197E-2</v>
      </c>
      <c r="AO93" s="11" cm="1">
        <f t="array" ref="AO93">MMULT($D93:$G93,AO$87:AO$90)</f>
        <v>5.3787985125393449E-2</v>
      </c>
      <c r="AP93" s="11" cm="1">
        <f t="array" ref="AP93">MMULT($D93:$G93,AP$87:AP$90)</f>
        <v>3.2791336291270484E-2</v>
      </c>
      <c r="AQ93" s="11" cm="1">
        <f t="array" ref="AQ93">MMULT($D93:$G93,AQ$87:AQ$90)</f>
        <v>7.5182622395664228E-2</v>
      </c>
      <c r="AR93" s="11" cm="1">
        <f t="array" ref="AR93">MMULT($D93:$G93,AR$87:AR$90)</f>
        <v>4.3769691333830227E-2</v>
      </c>
      <c r="AS93" s="11" cm="1">
        <f t="array" ref="AS93">MMULT($D93:$G93,AS$87:AS$90)</f>
        <v>9.2838290057094569E-2</v>
      </c>
      <c r="AT93" s="11" cm="1">
        <f t="array" ref="AT93">MMULT($D93:$G93,AT$87:AT$90)</f>
        <v>3.6282048064178646E-2</v>
      </c>
      <c r="AU93" s="11" cm="1">
        <f t="array" ref="AU93">MMULT($D93:$G93,AU$87:AU$90)</f>
        <v>2.2752814998614299E-2</v>
      </c>
      <c r="AV93" s="11" cm="1">
        <f t="array" ref="AV93">MMULT($D93:$G93,AV$87:AV$90)</f>
        <v>4.1151887152073831E-2</v>
      </c>
      <c r="AW93" s="11" cm="1">
        <f t="array" ref="AW93">MMULT($D93:$G93,AW$87:AW$90)</f>
        <v>-2.3649328278905989E-2</v>
      </c>
      <c r="AX93" s="11" cm="1">
        <f t="array" ref="AX93">MMULT($D93:$G93,AX$87:AX$90)</f>
        <v>3.6962600989635774E-2</v>
      </c>
      <c r="AY93" s="11" cm="1">
        <f t="array" ref="AY93">MMULT($D93:$G93,AY$87:AY$90)</f>
        <v>1.7227571651369889E-2</v>
      </c>
      <c r="AZ93" s="11" cm="1">
        <f t="array" ref="AZ93">MMULT($D93:$G93,AZ$87:AZ$90)</f>
        <v>7.9289468170475455E-2</v>
      </c>
      <c r="BA93" s="11" cm="1">
        <f t="array" ref="BA93">MMULT($D93:$G93,BA$87:BA$90)</f>
        <v>8.7148243707433293E-2</v>
      </c>
      <c r="BB93" s="11" cm="1">
        <f t="array" ref="BB93">MMULT($D93:$G93,BB$87:BB$90)</f>
        <v>-1.3699690642300635E-3</v>
      </c>
      <c r="BC93" s="11" cm="1">
        <f t="array" ref="BC93">MMULT($D93:$G93,BC$87:BC$90)</f>
        <v>8.3663594954356796E-2</v>
      </c>
      <c r="BD93" s="11" cm="1">
        <f t="array" ref="BD93">MMULT($D93:$G93,BD$87:BD$90)</f>
        <v>3.9452733596893219E-2</v>
      </c>
      <c r="BE93" s="11" cm="1">
        <f t="array" ref="BE93">MMULT($D93:$G93,BE$87:BE$90)</f>
        <v>5.7663436303570625E-2</v>
      </c>
    </row>
    <row r="94" spans="3:57" x14ac:dyDescent="0.3">
      <c r="D94" s="9">
        <v>7.3706451771411441E-3</v>
      </c>
      <c r="E94" s="9">
        <v>3.6478702979449551E-2</v>
      </c>
      <c r="F94" s="9">
        <v>0.10790464240903397</v>
      </c>
      <c r="G94" s="9">
        <v>-0.1153691185029323</v>
      </c>
      <c r="H94" s="21" cm="1">
        <f t="array" ref="H94">MMULT($D94:$G94,H$87:H$90)</f>
        <v>9.096218015673091E-3</v>
      </c>
      <c r="I94" s="11" cm="1">
        <f t="array" ref="I94">MMULT($D94:$G94,I$87:I$90)</f>
        <v>1.0359702343886557E-2</v>
      </c>
      <c r="J94" s="11" cm="1">
        <f t="array" ref="J94">MMULT($D94:$G94,J$87:J$90)</f>
        <v>3.5143057843263555E-2</v>
      </c>
      <c r="K94" s="11" cm="1">
        <f t="array" ref="K94">MMULT($D94:$G94,K$87:K$90)</f>
        <v>6.1247400132944732E-3</v>
      </c>
      <c r="L94" s="11" cm="1">
        <f t="array" ref="L94">MMULT($D94:$G94,L$87:L$90)</f>
        <v>7.2873100996412518E-3</v>
      </c>
      <c r="M94" s="11" cm="1">
        <f t="array" ref="M94">MMULT($D94:$G94,M$87:M$90)</f>
        <v>-2.1851853865502632E-2</v>
      </c>
      <c r="N94" s="11" cm="1">
        <f t="array" ref="N94">MMULT($D94:$G94,N$87:N$90)</f>
        <v>-1.8860268547695885E-2</v>
      </c>
      <c r="O94" s="11" cm="1">
        <f t="array" ref="O94">MMULT($D94:$G94,O$87:O$90)</f>
        <v>4.5988705837820221E-2</v>
      </c>
      <c r="P94" s="11" cm="1">
        <f t="array" ref="P94">MMULT($D94:$G94,P$87:P$90)</f>
        <v>4.5518840906460162E-2</v>
      </c>
      <c r="Q94" s="11" cm="1">
        <f t="array" ref="Q94">MMULT($D94:$G94,Q$87:Q$90)</f>
        <v>4.1655592524805704E-2</v>
      </c>
      <c r="R94" s="11" cm="1">
        <f t="array" ref="R94">MMULT($D94:$G94,R$87:R$90)</f>
        <v>-8.3915173866292748E-3</v>
      </c>
      <c r="S94" s="11" cm="1">
        <f t="array" ref="S94">MMULT($D94:$G94,S$87:S$90)</f>
        <v>-5.242934498257415E-2</v>
      </c>
      <c r="T94" s="11" cm="1">
        <f t="array" ref="T94">MMULT($D94:$G94,T$87:T$90)</f>
        <v>2.7483771447665929E-2</v>
      </c>
      <c r="U94" s="11" cm="1">
        <f t="array" ref="U94">MMULT($D94:$G94,U$87:U$90)</f>
        <v>2.4791718579315284E-2</v>
      </c>
      <c r="V94" s="11" cm="1">
        <f t="array" ref="V94">MMULT($D94:$G94,V$87:V$90)</f>
        <v>-1.1972966142143271E-2</v>
      </c>
      <c r="W94" s="11" cm="1">
        <f t="array" ref="W94">MMULT($D94:$G94,W$87:W$90)</f>
        <v>4.8658746889447775E-2</v>
      </c>
      <c r="X94" s="11" cm="1">
        <f t="array" ref="X94">MMULT($D94:$G94,X$87:X$90)</f>
        <v>6.4874161713702902E-2</v>
      </c>
      <c r="Y94" s="11" cm="1">
        <f t="array" ref="Y94">MMULT($D94:$G94,Y$87:Y$90)</f>
        <v>2.3254624873990302E-2</v>
      </c>
      <c r="Z94" s="11" cm="1">
        <f t="array" ref="Z94">MMULT($D94:$G94,Z$87:Z$90)</f>
        <v>6.7768035450238642E-3</v>
      </c>
      <c r="AA94" s="11" cm="1">
        <f t="array" ref="AA94">MMULT($D94:$G94,AA$87:AA$90)</f>
        <v>-4.844149944500073E-2</v>
      </c>
      <c r="AB94" s="11" cm="1">
        <f t="array" ref="AB94">MMULT($D94:$G94,AB$87:AB$90)</f>
        <v>-2.9129835171646485E-2</v>
      </c>
      <c r="AC94" s="11" cm="1">
        <f t="array" ref="AC94">MMULT($D94:$G94,AC$87:AC$90)</f>
        <v>1.6992434909954945E-2</v>
      </c>
      <c r="AD94" s="11" cm="1">
        <f t="array" ref="AD94">MMULT($D94:$G94,AD$87:AD$90)</f>
        <v>-6.2959685572951105E-2</v>
      </c>
      <c r="AE94" s="11" cm="1">
        <f t="array" ref="AE94">MMULT($D94:$G94,AE$87:AE$90)</f>
        <v>-9.6442390291134814E-3</v>
      </c>
      <c r="AF94" s="11" cm="1">
        <f t="array" ref="AF94">MMULT($D94:$G94,AF$87:AF$90)</f>
        <v>3.5433293875573244E-2</v>
      </c>
      <c r="AG94" s="11" cm="1">
        <f t="array" ref="AG94">MMULT($D94:$G94,AG$87:AG$90)</f>
        <v>-1.175758398475331E-2</v>
      </c>
      <c r="AH94" s="11" cm="1">
        <f t="array" ref="AH94">MMULT($D94:$G94,AH$87:AH$90)</f>
        <v>2.8679269891983054E-2</v>
      </c>
      <c r="AI94" s="11" cm="1">
        <f t="array" ref="AI94">MMULT($D94:$G94,AI$87:AI$90)</f>
        <v>6.0321089092887879E-3</v>
      </c>
      <c r="AJ94" s="11" cm="1">
        <f t="array" ref="AJ94">MMULT($D94:$G94,AJ$87:AJ$90)</f>
        <v>2.1553152191366505E-2</v>
      </c>
      <c r="AK94" s="11" cm="1">
        <f t="array" ref="AK94">MMULT($D94:$G94,AK$87:AK$90)</f>
        <v>4.7837967455833588E-3</v>
      </c>
      <c r="AL94" s="11" cm="1">
        <f t="array" ref="AL94">MMULT($D94:$G94,AL$87:AL$90)</f>
        <v>1.5393533388057754E-2</v>
      </c>
      <c r="AM94" s="11" cm="1">
        <f t="array" ref="AM94">MMULT($D94:$G94,AM$87:AM$90)</f>
        <v>1.1003874621993655E-2</v>
      </c>
      <c r="AN94" s="11" cm="1">
        <f t="array" ref="AN94">MMULT($D94:$G94,AN$87:AN$90)</f>
        <v>-1.6177432684434744E-2</v>
      </c>
      <c r="AO94" s="11" cm="1">
        <f t="array" ref="AO94">MMULT($D94:$G94,AO$87:AO$90)</f>
        <v>-3.7214246426051874E-2</v>
      </c>
      <c r="AP94" s="11" cm="1">
        <f t="array" ref="AP94">MMULT($D94:$G94,AP$87:AP$90)</f>
        <v>6.6199583269812762E-2</v>
      </c>
      <c r="AQ94" s="11" cm="1">
        <f t="array" ref="AQ94">MMULT($D94:$G94,AQ$87:AQ$90)</f>
        <v>-4.3974154854239944E-3</v>
      </c>
      <c r="AR94" s="11" cm="1">
        <f t="array" ref="AR94">MMULT($D94:$G94,AR$87:AR$90)</f>
        <v>7.0637708184846146E-2</v>
      </c>
      <c r="AS94" s="11" cm="1">
        <f t="array" ref="AS94">MMULT($D94:$G94,AS$87:AS$90)</f>
        <v>-3.7932230559698993E-2</v>
      </c>
      <c r="AT94" s="11" cm="1">
        <f t="array" ref="AT94">MMULT($D94:$G94,AT$87:AT$90)</f>
        <v>6.1642961530695289E-4</v>
      </c>
      <c r="AU94" s="11" cm="1">
        <f t="array" ref="AU94">MMULT($D94:$G94,AU$87:AU$90)</f>
        <v>-1.0321831664160796E-2</v>
      </c>
      <c r="AV94" s="11" cm="1">
        <f t="array" ref="AV94">MMULT($D94:$G94,AV$87:AV$90)</f>
        <v>-1.942659494856282E-2</v>
      </c>
      <c r="AW94" s="11" cm="1">
        <f t="array" ref="AW94">MMULT($D94:$G94,AW$87:AW$90)</f>
        <v>4.7404648370169541E-2</v>
      </c>
      <c r="AX94" s="11" cm="1">
        <f t="array" ref="AX94">MMULT($D94:$G94,AX$87:AX$90)</f>
        <v>-4.1013441360872455E-2</v>
      </c>
      <c r="AY94" s="11" cm="1">
        <f t="array" ref="AY94">MMULT($D94:$G94,AY$87:AY$90)</f>
        <v>-1.0406074163414433E-2</v>
      </c>
      <c r="AZ94" s="11" cm="1">
        <f t="array" ref="AZ94">MMULT($D94:$G94,AZ$87:AZ$90)</f>
        <v>-2.6067770167393367E-3</v>
      </c>
      <c r="BA94" s="11" cm="1">
        <f t="array" ref="BA94">MMULT($D94:$G94,BA$87:BA$90)</f>
        <v>-3.8180940684225784E-2</v>
      </c>
      <c r="BB94" s="11" cm="1">
        <f t="array" ref="BB94">MMULT($D94:$G94,BB$87:BB$90)</f>
        <v>6.0507089604319809E-2</v>
      </c>
      <c r="BC94" s="11" cm="1">
        <f t="array" ref="BC94">MMULT($D94:$G94,BC$87:BC$90)</f>
        <v>-4.8154196308487655E-2</v>
      </c>
      <c r="BD94" s="11" cm="1">
        <f t="array" ref="BD94">MMULT($D94:$G94,BD$87:BD$90)</f>
        <v>5.2346392224061941E-2</v>
      </c>
      <c r="BE94" s="11" cm="1">
        <f t="array" ref="BE94">MMULT($D94:$G94,BE$87:BE$90)</f>
        <v>-1.236985829029634E-2</v>
      </c>
    </row>
    <row r="95" spans="3:57" x14ac:dyDescent="0.3">
      <c r="D95" s="9">
        <v>0.1000926784059315</v>
      </c>
      <c r="E95" s="9">
        <v>5.2483534577387525E-2</v>
      </c>
      <c r="F95" s="9">
        <v>-3.2357223750202335E-3</v>
      </c>
      <c r="G95" s="9">
        <v>4.3471659919028349E-2</v>
      </c>
      <c r="H95" s="21" cm="1">
        <f t="array" ref="H95">MMULT($D95:$G95,H$87:H$90)</f>
        <v>4.8203037631831785E-2</v>
      </c>
      <c r="I95" s="11" cm="1">
        <f t="array" ref="I95">MMULT($D95:$G95,I$87:I$90)</f>
        <v>4.2275226174847282E-2</v>
      </c>
      <c r="J95" s="11" cm="1">
        <f t="array" ref="J95">MMULT($D95:$G95,J$87:J$90)</f>
        <v>4.5021313635245634E-2</v>
      </c>
      <c r="K95" s="11" cm="1">
        <f t="array" ref="K95">MMULT($D95:$G95,K$87:K$90)</f>
        <v>3.8025616678610312E-2</v>
      </c>
      <c r="L95" s="11" cm="1">
        <f t="array" ref="L95">MMULT($D95:$G95,L$87:L$90)</f>
        <v>7.1189866655442482E-2</v>
      </c>
      <c r="M95" s="11" cm="1">
        <f t="array" ref="M95">MMULT($D95:$G95,M$87:M$90)</f>
        <v>7.4012752648392729E-2</v>
      </c>
      <c r="N95" s="11" cm="1">
        <f t="array" ref="N95">MMULT($D95:$G95,N$87:N$90)</f>
        <v>5.6880637899770256E-2</v>
      </c>
      <c r="O95" s="11" cm="1">
        <f t="array" ref="O95">MMULT($D95:$G95,O$87:O$90)</f>
        <v>2.1334458247818107E-2</v>
      </c>
      <c r="P95" s="11" cm="1">
        <f t="array" ref="P95">MMULT($D95:$G95,P$87:P$90)</f>
        <v>4.8225215385568801E-2</v>
      </c>
      <c r="Q95" s="11" cm="1">
        <f t="array" ref="Q95">MMULT($D95:$G95,Q$87:Q$90)</f>
        <v>4.0854098974731676E-2</v>
      </c>
      <c r="R95" s="11" cm="1">
        <f t="array" ref="R95">MMULT($D95:$G95,R$87:R$90)</f>
        <v>6.8950736420499814E-2</v>
      </c>
      <c r="S95" s="11" cm="1">
        <f t="array" ref="S95">MMULT($D95:$G95,S$87:S$90)</f>
        <v>4.5176569248127359E-2</v>
      </c>
      <c r="T95" s="11" cm="1">
        <f t="array" ref="T95">MMULT($D95:$G95,T$87:T$90)</f>
        <v>5.1554452938139483E-2</v>
      </c>
      <c r="U95" s="11" cm="1">
        <f t="array" ref="U95">MMULT($D95:$G95,U$87:U$90)</f>
        <v>7.4666664539794342E-2</v>
      </c>
      <c r="V95" s="11" cm="1">
        <f t="array" ref="V95">MMULT($D95:$G95,V$87:V$90)</f>
        <v>4.7613514393067317E-2</v>
      </c>
      <c r="W95" s="11" cm="1">
        <f t="array" ref="W95">MMULT($D95:$G95,W$87:W$90)</f>
        <v>4.5994683556381963E-2</v>
      </c>
      <c r="X95" s="11" cm="1">
        <f t="array" ref="X95">MMULT($D95:$G95,X$87:X$90)</f>
        <v>2.4072814884885149E-2</v>
      </c>
      <c r="Y95" s="11" cm="1">
        <f t="array" ref="Y95">MMULT($D95:$G95,Y$87:Y$90)</f>
        <v>4.0622824294924018E-2</v>
      </c>
      <c r="Z95" s="11" cm="1">
        <f t="array" ref="Z95">MMULT($D95:$G95,Z$87:Z$90)</f>
        <v>6.8209427746736925E-2</v>
      </c>
      <c r="AA95" s="11" cm="1">
        <f t="array" ref="AA95">MMULT($D95:$G95,AA$87:AA$90)</f>
        <v>5.7200903504038968E-2</v>
      </c>
      <c r="AB95" s="11" cm="1">
        <f t="array" ref="AB95">MMULT($D95:$G95,AB$87:AB$90)</f>
        <v>4.254887662035145E-2</v>
      </c>
      <c r="AC95" s="11" cm="1">
        <f t="array" ref="AC95">MMULT($D95:$G95,AC$87:AC$90)</f>
        <v>3.0581377490909868E-2</v>
      </c>
      <c r="AD95" s="11" cm="1">
        <f t="array" ref="AD95">MMULT($D95:$G95,AD$87:AD$90)</f>
        <v>5.768045883170865E-2</v>
      </c>
      <c r="AE95" s="11" cm="1">
        <f t="array" ref="AE95">MMULT($D95:$G95,AE$87:AE$90)</f>
        <v>6.073352413203266E-2</v>
      </c>
      <c r="AF95" s="11" cm="1">
        <f t="array" ref="AF95">MMULT($D95:$G95,AF$87:AF$90)</f>
        <v>2.1201091932588428E-2</v>
      </c>
      <c r="AG95" s="11" cm="1">
        <f t="array" ref="AG95">MMULT($D95:$G95,AG$87:AG$90)</f>
        <v>7.7046869412318211E-2</v>
      </c>
      <c r="AH95" s="11" cm="1">
        <f t="array" ref="AH95">MMULT($D95:$G95,AH$87:AH$90)</f>
        <v>6.6156690566877396E-2</v>
      </c>
      <c r="AI95" s="11" cm="1">
        <f t="array" ref="AI95">MMULT($D95:$G95,AI$87:AI$90)</f>
        <v>8.0957895636055113E-2</v>
      </c>
      <c r="AJ95" s="11" cm="1">
        <f t="array" ref="AJ95">MMULT($D95:$G95,AJ$87:AJ$90)</f>
        <v>4.0819903679987626E-2</v>
      </c>
      <c r="AK95" s="11" cm="1">
        <f t="array" ref="AK95">MMULT($D95:$G95,AK$87:AK$90)</f>
        <v>6.9024238645373756E-2</v>
      </c>
      <c r="AL95" s="11" cm="1">
        <f t="array" ref="AL95">MMULT($D95:$G95,AL$87:AL$90)</f>
        <v>8.0302564152777395E-2</v>
      </c>
      <c r="AM95" s="11" cm="1">
        <f t="array" ref="AM95">MMULT($D95:$G95,AM$87:AM$90)</f>
        <v>3.5434383558268133E-2</v>
      </c>
      <c r="AN95" s="11" cm="1">
        <f t="array" ref="AN95">MMULT($D95:$G95,AN$87:AN$90)</f>
        <v>4.2139216400741794E-2</v>
      </c>
      <c r="AO95" s="11" cm="1">
        <f t="array" ref="AO95">MMULT($D95:$G95,AO$87:AO$90)</f>
        <v>5.1140173842778969E-2</v>
      </c>
      <c r="AP95" s="11" cm="1">
        <f t="array" ref="AP95">MMULT($D95:$G95,AP$87:AP$90)</f>
        <v>2.687583801977252E-2</v>
      </c>
      <c r="AQ95" s="11" cm="1">
        <f t="array" ref="AQ95">MMULT($D95:$G95,AQ$87:AQ$90)</f>
        <v>4.3266220280780254E-2</v>
      </c>
      <c r="AR95" s="11" cm="1">
        <f t="array" ref="AR95">MMULT($D95:$G95,AR$87:AR$90)</f>
        <v>2.8790250518615581E-2</v>
      </c>
      <c r="AS95" s="11" cm="1">
        <f t="array" ref="AS95">MMULT($D95:$G95,AS$87:AS$90)</f>
        <v>6.8416352616237852E-2</v>
      </c>
      <c r="AT95" s="11" cm="1">
        <f t="array" ref="AT95">MMULT($D95:$G95,AT$87:AT$90)</f>
        <v>3.4588805545390525E-2</v>
      </c>
      <c r="AU95" s="11" cm="1">
        <f t="array" ref="AU95">MMULT($D95:$G95,AU$87:AU$90)</f>
        <v>5.2766948630877018E-2</v>
      </c>
      <c r="AV95" s="11" cm="1">
        <f t="array" ref="AV95">MMULT($D95:$G95,AV$87:AV$90)</f>
        <v>5.9425234277703583E-2</v>
      </c>
      <c r="AW95" s="11" cm="1">
        <f t="array" ref="AW95">MMULT($D95:$G95,AW$87:AW$90)</f>
        <v>3.95671848587772E-2</v>
      </c>
      <c r="AX95" s="11" cm="1">
        <f t="array" ref="AX95">MMULT($D95:$G95,AX$87:AX$90)</f>
        <v>5.0783728941805245E-2</v>
      </c>
      <c r="AY95" s="11" cm="1">
        <f t="array" ref="AY95">MMULT($D95:$G95,AY$87:AY$90)</f>
        <v>5.2596247336824525E-2</v>
      </c>
      <c r="AZ95" s="11" cm="1">
        <f t="array" ref="AZ95">MMULT($D95:$G95,AZ$87:AZ$90)</f>
        <v>6.9834450953381977E-2</v>
      </c>
      <c r="BA95" s="11" cm="1">
        <f t="array" ref="BA95">MMULT($D95:$G95,BA$87:BA$90)</f>
        <v>5.0155153190929405E-2</v>
      </c>
      <c r="BB95" s="11" cm="1">
        <f t="array" ref="BB95">MMULT($D95:$G95,BB$87:BB$90)</f>
        <v>3.047027906997285E-2</v>
      </c>
      <c r="BC95" s="11" cm="1">
        <f t="array" ref="BC95">MMULT($D95:$G95,BC$87:BC$90)</f>
        <v>5.0294528660614832E-2</v>
      </c>
      <c r="BD95" s="11" cm="1">
        <f t="array" ref="BD95">MMULT($D95:$G95,BD$87:BD$90)</f>
        <v>1.3412698943675689E-2</v>
      </c>
      <c r="BE95" s="11" cm="1">
        <f t="array" ref="BE95">MMULT($D95:$G95,BE$87:BE$90)</f>
        <v>3.9837657067615349E-2</v>
      </c>
    </row>
    <row r="96" spans="3:57" x14ac:dyDescent="0.3">
      <c r="D96" s="9">
        <v>-6.7396798652063938E-2</v>
      </c>
      <c r="E96" s="9">
        <v>-2.9528713903917647E-2</v>
      </c>
      <c r="F96" s="9">
        <v>-4.171400746632048E-2</v>
      </c>
      <c r="G96" s="9">
        <v>-4.7625976041515083E-2</v>
      </c>
      <c r="H96" s="21" cm="1">
        <f t="array" ref="H96">MMULT($D96:$G96,H$87:H$90)</f>
        <v>-4.6566374015954287E-2</v>
      </c>
      <c r="I96" s="11" cm="1">
        <f t="array" ref="I96">MMULT($D96:$G96,I$87:I$90)</f>
        <v>-4.1448266215723922E-2</v>
      </c>
      <c r="J96" s="11" cm="1">
        <f t="array" ref="J96">MMULT($D96:$G96,J$87:J$90)</f>
        <v>-3.8450482501848404E-2</v>
      </c>
      <c r="K96" s="11" cm="1">
        <f t="array" ref="K96">MMULT($D96:$G96,K$87:K$90)</f>
        <v>-4.7933284779410029E-2</v>
      </c>
      <c r="L96" s="11" cm="1">
        <f t="array" ref="L96">MMULT($D96:$G96,L$87:L$90)</f>
        <v>-5.3190052483769859E-2</v>
      </c>
      <c r="M96" s="11" cm="1">
        <f t="array" ref="M96">MMULT($D96:$G96,M$87:M$90)</f>
        <v>-5.4959416662737688E-2</v>
      </c>
      <c r="N96" s="11" cm="1">
        <f t="array" ref="N96">MMULT($D96:$G96,N$87:N$90)</f>
        <v>-4.686276883405073E-2</v>
      </c>
      <c r="O96" s="11" cm="1">
        <f t="array" ref="O96">MMULT($D96:$G96,O$87:O$90)</f>
        <v>-3.9483723655025491E-2</v>
      </c>
      <c r="P96" s="11" cm="1">
        <f t="array" ref="P96">MMULT($D96:$G96,P$87:P$90)</f>
        <v>-5.1894643562303333E-2</v>
      </c>
      <c r="Q96" s="11" cm="1">
        <f t="array" ref="Q96">MMULT($D96:$G96,Q$87:Q$90)</f>
        <v>-4.1604144262374035E-2</v>
      </c>
      <c r="R96" s="11" cm="1">
        <f t="array" ref="R96">MMULT($D96:$G96,R$87:R$90)</f>
        <v>-5.3587851157604699E-2</v>
      </c>
      <c r="S96" s="11" cm="1">
        <f t="array" ref="S96">MMULT($D96:$G96,S$87:S$90)</f>
        <v>-4.8379298023423334E-2</v>
      </c>
      <c r="T96" s="11" cm="1">
        <f t="array" ref="T96">MMULT($D96:$G96,T$87:T$90)</f>
        <v>-4.5288240784840741E-2</v>
      </c>
      <c r="U96" s="11" cm="1">
        <f t="array" ref="U96">MMULT($D96:$G96,U$87:U$90)</f>
        <v>-5.4314788897644378E-2</v>
      </c>
      <c r="V96" s="11" cm="1">
        <f t="array" ref="V96">MMULT($D96:$G96,V$87:V$90)</f>
        <v>-4.5160016271632963E-2</v>
      </c>
      <c r="W96" s="11" cm="1">
        <f t="array" ref="W96">MMULT($D96:$G96,W$87:W$90)</f>
        <v>-4.3098762341649943E-2</v>
      </c>
      <c r="X96" s="11" cm="1">
        <f t="array" ref="X96">MMULT($D96:$G96,X$87:X$90)</f>
        <v>-4.4147067890383897E-2</v>
      </c>
      <c r="Y96" s="11" cm="1">
        <f t="array" ref="Y96">MMULT($D96:$G96,Y$87:Y$90)</f>
        <v>-3.767290734271541E-2</v>
      </c>
      <c r="Z96" s="11" cm="1">
        <f t="array" ref="Z96">MMULT($D96:$G96,Z$87:Z$90)</f>
        <v>-5.6406637978197387E-2</v>
      </c>
      <c r="AA96" s="11" cm="1">
        <f t="array" ref="AA96">MMULT($D96:$G96,AA$87:AA$90)</f>
        <v>-4.9529959710091123E-2</v>
      </c>
      <c r="AB96" s="11" cm="1">
        <f t="array" ref="AB96">MMULT($D96:$G96,AB$87:AB$90)</f>
        <v>-4.4616537301280228E-2</v>
      </c>
      <c r="AC96" s="11" cm="1">
        <f t="array" ref="AC96">MMULT($D96:$G96,AC$87:AC$90)</f>
        <v>-4.5444141302719801E-2</v>
      </c>
      <c r="AD96" s="11" cm="1">
        <f t="array" ref="AD96">MMULT($D96:$G96,AD$87:AD$90)</f>
        <v>-5.0894452059188119E-2</v>
      </c>
      <c r="AE96" s="11" cm="1">
        <f t="array" ref="AE96">MMULT($D96:$G96,AE$87:AE$90)</f>
        <v>-5.1778743359606388E-2</v>
      </c>
      <c r="AF96" s="11" cm="1">
        <f t="array" ref="AF96">MMULT($D96:$G96,AF$87:AF$90)</f>
        <v>-4.5894024106114074E-2</v>
      </c>
      <c r="AG96" s="11" cm="1">
        <f t="array" ref="AG96">MMULT($D96:$G96,AG$87:AG$90)</f>
        <v>-5.7060294893459922E-2</v>
      </c>
      <c r="AH96" s="11" cm="1">
        <f t="array" ref="AH96">MMULT($D96:$G96,AH$87:AH$90)</f>
        <v>-5.2809628228910582E-2</v>
      </c>
      <c r="AI96" s="11" cm="1">
        <f t="array" ref="AI96">MMULT($D96:$G96,AI$87:AI$90)</f>
        <v>-5.8373120303647594E-2</v>
      </c>
      <c r="AJ96" s="11" cm="1">
        <f t="array" ref="AJ96">MMULT($D96:$G96,AJ$87:AJ$90)</f>
        <v>-4.2282455190732482E-2</v>
      </c>
      <c r="AK96" s="11" cm="1">
        <f t="array" ref="AK96">MMULT($D96:$G96,AK$87:AK$90)</f>
        <v>-5.3851019452922699E-2</v>
      </c>
      <c r="AL96" s="11" cm="1">
        <f t="array" ref="AL96">MMULT($D96:$G96,AL$87:AL$90)</f>
        <v>-5.81642138277048E-2</v>
      </c>
      <c r="AM96" s="11" cm="1">
        <f t="array" ref="AM96">MMULT($D96:$G96,AM$87:AM$90)</f>
        <v>-4.8674529985773284E-2</v>
      </c>
      <c r="AN96" s="11" cm="1">
        <f t="array" ref="AN96">MMULT($D96:$G96,AN$87:AN$90)</f>
        <v>-4.571987716770122E-2</v>
      </c>
      <c r="AO96" s="11" cm="1">
        <f t="array" ref="AO96">MMULT($D96:$G96,AO$87:AO$90)</f>
        <v>-4.4709785596864997E-2</v>
      </c>
      <c r="AP96" s="11" cm="1">
        <f t="array" ref="AP96">MMULT($D96:$G96,AP$87:AP$90)</f>
        <v>-4.4570970884612038E-2</v>
      </c>
      <c r="AQ96" s="11" cm="1">
        <f t="array" ref="AQ96">MMULT($D96:$G96,AQ$87:AQ$90)</f>
        <v>-5.0101731443158978E-2</v>
      </c>
      <c r="AR96" s="11" cm="1">
        <f t="array" ref="AR96">MMULT($D96:$G96,AR$87:AR$90)</f>
        <v>-4.7372686856227891E-2</v>
      </c>
      <c r="AS96" s="11" cm="1">
        <f t="array" ref="AS96">MMULT($D96:$G96,AS$87:AS$90)</f>
        <v>-5.5146620817153741E-2</v>
      </c>
      <c r="AT96" s="11" cm="1">
        <f t="array" ref="AT96">MMULT($D96:$G96,AT$87:AT$90)</f>
        <v>-4.1463093058978134E-2</v>
      </c>
      <c r="AU96" s="11" cm="1">
        <f t="array" ref="AU96">MMULT($D96:$G96,AU$87:AU$90)</f>
        <v>-4.101807132859378E-2</v>
      </c>
      <c r="AV96" s="11" cm="1">
        <f t="array" ref="AV96">MMULT($D96:$G96,AV$87:AV$90)</f>
        <v>-4.5009452858850905E-2</v>
      </c>
      <c r="AW96" s="11" cm="1">
        <f t="array" ref="AW96">MMULT($D96:$G96,AW$87:AW$90)</f>
        <v>-3.4242885539354832E-2</v>
      </c>
      <c r="AX96" s="11" cm="1">
        <f t="array" ref="AX96">MMULT($D96:$G96,AX$87:AX$90)</f>
        <v>-4.1078914417241763E-2</v>
      </c>
      <c r="AY96" s="11" cm="1">
        <f t="array" ref="AY96">MMULT($D96:$G96,AY$87:AY$90)</f>
        <v>-3.9906824463006724E-2</v>
      </c>
      <c r="AZ96" s="11" cm="1">
        <f t="array" ref="AZ96">MMULT($D96:$G96,AZ$87:AZ$90)</f>
        <v>-5.5478784417174846E-2</v>
      </c>
      <c r="BA96" s="11" cm="1">
        <f t="array" ref="BA96">MMULT($D96:$G96,BA$87:BA$90)</f>
        <v>-5.0968323744468955E-2</v>
      </c>
      <c r="BB96" s="11" cm="1">
        <f t="array" ref="BB96">MMULT($D96:$G96,BB$87:BB$90)</f>
        <v>-3.807689582445048E-2</v>
      </c>
      <c r="BC96" s="11" cm="1">
        <f t="array" ref="BC96">MMULT($D96:$G96,BC$87:BC$90)</f>
        <v>-4.954090641607381E-2</v>
      </c>
      <c r="BD96" s="11" cm="1">
        <f t="array" ref="BD96">MMULT($D96:$G96,BD$87:BD$90)</f>
        <v>-4.2547032989396806E-2</v>
      </c>
      <c r="BE96" s="11" cm="1">
        <f t="array" ref="BE96">MMULT($D96:$G96,BE$87:BE$90)</f>
        <v>-4.549946748520986E-2</v>
      </c>
    </row>
    <row r="97" spans="4:57" x14ac:dyDescent="0.3">
      <c r="D97" s="9">
        <v>-3.7369847382684451E-2</v>
      </c>
      <c r="E97" s="9">
        <v>-7.9056958624395324E-2</v>
      </c>
      <c r="F97" s="9">
        <v>-5.1942186088528297E-3</v>
      </c>
      <c r="G97" s="9">
        <v>-0.11539440851453886</v>
      </c>
      <c r="H97" s="21" cm="1">
        <f t="array" ref="H97">MMULT($D97:$G97,H$87:H$90)</f>
        <v>-5.9253858282617866E-2</v>
      </c>
      <c r="I97" s="11" cm="1">
        <f t="array" ref="I97">MMULT($D97:$G97,I$87:I$90)</f>
        <v>-6.6321503095235212E-2</v>
      </c>
      <c r="J97" s="11" cm="1">
        <f t="array" ref="J97">MMULT($D97:$G97,J$87:J$90)</f>
        <v>-6.0863719818346582E-2</v>
      </c>
      <c r="K97" s="11" cm="1">
        <f t="array" ref="K97">MMULT($D97:$G97,K$87:K$90)</f>
        <v>-5.5019400693637657E-2</v>
      </c>
      <c r="L97" s="11" cm="1">
        <f t="array" ref="L97">MMULT($D97:$G97,L$87:L$90)</f>
        <v>-5.4887864449921331E-2</v>
      </c>
      <c r="M97" s="11" cm="1">
        <f t="array" ref="M97">MMULT($D97:$G97,M$87:M$90)</f>
        <v>-6.6415880330864457E-2</v>
      </c>
      <c r="N97" s="11" cm="1">
        <f t="array" ref="N97">MMULT($D97:$G97,N$87:N$90)</f>
        <v>-7.4743053513032204E-2</v>
      </c>
      <c r="O97" s="11" cm="1">
        <f t="array" ref="O97">MMULT($D97:$G97,O$87:O$90)</f>
        <v>-4.649281711364163E-2</v>
      </c>
      <c r="P97" s="11" cm="1">
        <f t="array" ref="P97">MMULT($D97:$G97,P$87:P$90)</f>
        <v>-3.1952331672539538E-2</v>
      </c>
      <c r="Q97" s="11" cm="1">
        <f t="array" ref="Q97">MMULT($D97:$G97,Q$87:Q$90)</f>
        <v>-5.0621502498074594E-2</v>
      </c>
      <c r="R97" s="11" cm="1">
        <f t="array" ref="R97">MMULT($D97:$G97,R$87:R$90)</f>
        <v>-6.0965744940620806E-2</v>
      </c>
      <c r="S97" s="11" cm="1">
        <f t="array" ref="S97">MMULT($D97:$G97,S$87:S$90)</f>
        <v>-8.440383158567899E-2</v>
      </c>
      <c r="T97" s="11" cm="1">
        <f t="array" ref="T97">MMULT($D97:$G97,T$87:T$90)</f>
        <v>-5.3853410134025781E-2</v>
      </c>
      <c r="U97" s="11" cm="1">
        <f t="array" ref="U97">MMULT($D97:$G97,U$87:U$90)</f>
        <v>-4.5492854783610509E-2</v>
      </c>
      <c r="V97" s="11" cm="1">
        <f t="array" ref="V97">MMULT($D97:$G97,V$87:V$90)</f>
        <v>-7.1762415392197257E-2</v>
      </c>
      <c r="W97" s="11" cm="1">
        <f t="array" ref="W97">MMULT($D97:$G97,W$87:W$90)</f>
        <v>-4.6075794936082187E-2</v>
      </c>
      <c r="X97" s="11" cm="1">
        <f t="array" ref="X97">MMULT($D97:$G97,X$87:X$90)</f>
        <v>-2.9648893604033839E-2</v>
      </c>
      <c r="Y97" s="11" cm="1">
        <f t="array" ref="Y97">MMULT($D97:$G97,Y$87:Y$90)</f>
        <v>-6.6645047519467523E-2</v>
      </c>
      <c r="Z97" s="11" cm="1">
        <f t="array" ref="Z97">MMULT($D97:$G97,Z$87:Z$90)</f>
        <v>-4.8253502848639711E-2</v>
      </c>
      <c r="AA97" s="11" cm="1">
        <f t="array" ref="AA97">MMULT($D97:$G97,AA$87:AA$90)</f>
        <v>-8.4050156544964533E-2</v>
      </c>
      <c r="AB97" s="11" cm="1">
        <f t="array" ref="AB97">MMULT($D97:$G97,AB$87:AB$90)</f>
        <v>-7.942628128600468E-2</v>
      </c>
      <c r="AC97" s="11" cm="1">
        <f t="array" ref="AC97">MMULT($D97:$G97,AC$87:AC$90)</f>
        <v>-5.2151463403789955E-2</v>
      </c>
      <c r="AD97" s="11" cm="1">
        <f t="array" ref="AD97">MMULT($D97:$G97,AD$87:AD$90)</f>
        <v>-8.8614033928064662E-2</v>
      </c>
      <c r="AE97" s="11" cm="1">
        <f t="array" ref="AE97">MMULT($D97:$G97,AE$87:AE$90)</f>
        <v>-6.239934972339925E-2</v>
      </c>
      <c r="AF97" s="11" cm="1">
        <f t="array" ref="AF97">MMULT($D97:$G97,AF$87:AF$90)</f>
        <v>-3.961614800260628E-2</v>
      </c>
      <c r="AG97" s="11" cm="1">
        <f t="array" ref="AG97">MMULT($D97:$G97,AG$87:AG$90)</f>
        <v>-5.8620791458065771E-2</v>
      </c>
      <c r="AH97" s="11" cm="1">
        <f t="array" ref="AH97">MMULT($D97:$G97,AH$87:AH$90)</f>
        <v>-4.3813440558308221E-2</v>
      </c>
      <c r="AI97" s="11" cm="1">
        <f t="array" ref="AI97">MMULT($D97:$G97,AI$87:AI$90)</f>
        <v>-4.8873691450857543E-2</v>
      </c>
      <c r="AJ97" s="11" cm="1">
        <f t="array" ref="AJ97">MMULT($D97:$G97,AJ$87:AJ$90)</f>
        <v>-5.8972237466097241E-2</v>
      </c>
      <c r="AK97" s="11" cm="1">
        <f t="array" ref="AK97">MMULT($D97:$G97,AK$87:AK$90)</f>
        <v>-5.4195921597493119E-2</v>
      </c>
      <c r="AL97" s="11" cm="1">
        <f t="array" ref="AL97">MMULT($D97:$G97,AL$87:AL$90)</f>
        <v>-4.4580621457983777E-2</v>
      </c>
      <c r="AM97" s="11" cm="1">
        <f t="array" ref="AM97">MMULT($D97:$G97,AM$87:AM$90)</f>
        <v>-5.051546319970978E-2</v>
      </c>
      <c r="AN97" s="11" cm="1">
        <f t="array" ref="AN97">MMULT($D97:$G97,AN$87:AN$90)</f>
        <v>-7.1057006101666653E-2</v>
      </c>
      <c r="AO97" s="11" cm="1">
        <f t="array" ref="AO97">MMULT($D97:$G97,AO$87:AO$90)</f>
        <v>-8.5756921290605637E-2</v>
      </c>
      <c r="AP97" s="11" cm="1">
        <f t="array" ref="AP97">MMULT($D97:$G97,AP$87:AP$90)</f>
        <v>-2.9088399999223719E-2</v>
      </c>
      <c r="AQ97" s="11" cm="1">
        <f t="array" ref="AQ97">MMULT($D97:$G97,AQ$87:AQ$90)</f>
        <v>-5.7640751199516754E-2</v>
      </c>
      <c r="AR97" s="11" cm="1">
        <f t="array" ref="AR97">MMULT($D97:$G97,AR$87:AR$90)</f>
        <v>-2.2356779408753642E-2</v>
      </c>
      <c r="AS97" s="11" cm="1">
        <f t="array" ref="AS97">MMULT($D97:$G97,AS$87:AS$90)</f>
        <v>-7.2046646362199859E-2</v>
      </c>
      <c r="AT97" s="11" cm="1">
        <f t="array" ref="AT97">MMULT($D97:$G97,AT$87:AT$90)</f>
        <v>-6.8598544496224489E-2</v>
      </c>
      <c r="AU97" s="11" cm="1">
        <f t="array" ref="AU97">MMULT($D97:$G97,AU$87:AU$90)</f>
        <v>-8.0233378251435061E-2</v>
      </c>
      <c r="AV97" s="11" cm="1">
        <f t="array" ref="AV97">MMULT($D97:$G97,AV$87:AV$90)</f>
        <v>-7.9231105887186543E-2</v>
      </c>
      <c r="AW97" s="11" cm="1">
        <f t="array" ref="AW97">MMULT($D97:$G97,AW$87:AW$90)</f>
        <v>-6.1125721943321797E-2</v>
      </c>
      <c r="AX97" s="11" cm="1">
        <f t="array" ref="AX97">MMULT($D97:$G97,AX$87:AX$90)</f>
        <v>-9.4198171052382734E-2</v>
      </c>
      <c r="AY97" s="11" cm="1">
        <f t="array" ref="AY97">MMULT($D97:$G97,AY$87:AY$90)</f>
        <v>-8.2281897679146371E-2</v>
      </c>
      <c r="AZ97" s="11" cm="1">
        <f t="array" ref="AZ97">MMULT($D97:$G97,AZ$87:AZ$90)</f>
        <v>-5.4962479363062186E-2</v>
      </c>
      <c r="BA97" s="11" cm="1">
        <f t="array" ref="BA97">MMULT($D97:$G97,BA$87:BA$90)</f>
        <v>-7.431224390223215E-2</v>
      </c>
      <c r="BB97" s="11" cm="1">
        <f t="array" ref="BB97">MMULT($D97:$G97,BB$87:BB$90)</f>
        <v>-4.4956620735578434E-2</v>
      </c>
      <c r="BC97" s="11" cm="1">
        <f t="array" ref="BC97">MMULT($D97:$G97,BC$87:BC$90)</f>
        <v>-8.177402798504195E-2</v>
      </c>
      <c r="BD97" s="11" cm="1">
        <f t="array" ref="BD97">MMULT($D97:$G97,BD$87:BD$90)</f>
        <v>-3.5340622048216294E-2</v>
      </c>
      <c r="BE97" s="11" cm="1">
        <f t="array" ref="BE97">MMULT($D97:$G97,BE$87:BE$90)</f>
        <v>-6.893784127896263E-2</v>
      </c>
    </row>
    <row r="98" spans="4:57" x14ac:dyDescent="0.3">
      <c r="D98" s="9">
        <v>5.7292438385933675E-2</v>
      </c>
      <c r="E98" s="9">
        <v>5.5211144336663853E-2</v>
      </c>
      <c r="F98" s="9">
        <v>-5.4086265607264483E-2</v>
      </c>
      <c r="G98" s="9">
        <v>0.14835069944159796</v>
      </c>
      <c r="H98" s="21" cm="1">
        <f t="array" ref="H98">MMULT($D98:$G98,H$87:H$90)</f>
        <v>5.169200413923275E-2</v>
      </c>
      <c r="I98" s="11" cm="1">
        <f t="array" ref="I98">MMULT($D98:$G98,I$87:I$90)</f>
        <v>5.3895527959516229E-2</v>
      </c>
      <c r="J98" s="11" cm="1">
        <f t="array" ref="J98">MMULT($D98:$G98,J$87:J$90)</f>
        <v>3.9550359156194682E-2</v>
      </c>
      <c r="K98" s="11" cm="1">
        <f t="array" ref="K98">MMULT($D98:$G98,K$87:K$90)</f>
        <v>4.5895756297124661E-2</v>
      </c>
      <c r="L98" s="11" cm="1">
        <f t="array" ref="L98">MMULT($D98:$G98,L$87:L$90)</f>
        <v>5.8547997282825587E-2</v>
      </c>
      <c r="M98" s="11" cm="1">
        <f t="array" ref="M98">MMULT($D98:$G98,M$87:M$90)</f>
        <v>8.1571959370334499E-2</v>
      </c>
      <c r="N98" s="11" cm="1">
        <f t="array" ref="N98">MMULT($D98:$G98,N$87:N$90)</f>
        <v>7.9407958213338223E-2</v>
      </c>
      <c r="O98" s="11" cm="1">
        <f t="array" ref="O98">MMULT($D98:$G98,O$87:O$90)</f>
        <v>1.4549724843236488E-2</v>
      </c>
      <c r="P98" s="11" cm="1">
        <f t="array" ref="P98">MMULT($D98:$G98,P$87:P$90)</f>
        <v>1.4918779516341912E-2</v>
      </c>
      <c r="Q98" s="11" cm="1">
        <f t="array" ref="Q98">MMULT($D98:$G98,Q$87:Q$90)</f>
        <v>2.7388597394235412E-2</v>
      </c>
      <c r="R98" s="11" cm="1">
        <f t="array" ref="R98">MMULT($D98:$G98,R$87:R$90)</f>
        <v>6.933966080645812E-2</v>
      </c>
      <c r="S98" s="11" cm="1">
        <f t="array" ref="S98">MMULT($D98:$G98,S$87:S$90)</f>
        <v>9.7296624759941136E-2</v>
      </c>
      <c r="T98" s="11" cm="1">
        <f t="array" ref="T98">MMULT($D98:$G98,T$87:T$90)</f>
        <v>4.0588351774196792E-2</v>
      </c>
      <c r="U98" s="11" cm="1">
        <f t="array" ref="U98">MMULT($D98:$G98,U$87:U$90)</f>
        <v>4.4985149330813975E-2</v>
      </c>
      <c r="V98" s="11" cm="1">
        <f t="array" ref="V98">MMULT($D98:$G98,V$87:V$90)</f>
        <v>7.0333943394597587E-2</v>
      </c>
      <c r="W98" s="11" cm="1">
        <f t="array" ref="W98">MMULT($D98:$G98,W$87:W$90)</f>
        <v>2.2889675212037337E-2</v>
      </c>
      <c r="X98" s="11" cm="1">
        <f t="array" ref="X98">MMULT($D98:$G98,X$87:X$90)</f>
        <v>-5.3884026622212956E-3</v>
      </c>
      <c r="Y98" s="11" cm="1">
        <f t="array" ref="Y98">MMULT($D98:$G98,Y$87:Y$90)</f>
        <v>4.750784410498525E-2</v>
      </c>
      <c r="Z98" s="11" cm="1">
        <f t="array" ref="Z98">MMULT($D98:$G98,Z$87:Z$90)</f>
        <v>5.2744103025615538E-2</v>
      </c>
      <c r="AA98" s="11" cm="1">
        <f t="array" ref="AA98">MMULT($D98:$G98,AA$87:AA$90)</f>
        <v>0.10001152069309931</v>
      </c>
      <c r="AB98" s="11" cm="1">
        <f t="array" ref="AB98">MMULT($D98:$G98,AB$87:AB$90)</f>
        <v>8.1835522728891746E-2</v>
      </c>
      <c r="AC98" s="11" cm="1">
        <f t="array" ref="AC98">MMULT($D98:$G98,AC$87:AC$90)</f>
        <v>3.5793963553939739E-2</v>
      </c>
      <c r="AD98" s="11" cm="1">
        <f t="array" ref="AD98">MMULT($D98:$G98,AD$87:AD$90)</f>
        <v>0.11024980477825805</v>
      </c>
      <c r="AE98" s="11" cm="1">
        <f t="array" ref="AE98">MMULT($D98:$G98,AE$87:AE$90)</f>
        <v>6.7674138752621099E-2</v>
      </c>
      <c r="AF98" s="11" cm="1">
        <f t="array" ref="AF98">MMULT($D98:$G98,AF$87:AF$90)</f>
        <v>1.4353723321680754E-2</v>
      </c>
      <c r="AG98" s="11" cm="1">
        <f t="array" ref="AG98">MMULT($D98:$G98,AG$87:AG$90)</f>
        <v>7.2426525188830748E-2</v>
      </c>
      <c r="AH98" s="11" cm="1">
        <f t="array" ref="AH98">MMULT($D98:$G98,AH$87:AH$90)</f>
        <v>3.8551861954978332E-2</v>
      </c>
      <c r="AI98" s="11" cm="1">
        <f t="array" ref="AI98">MMULT($D98:$G98,AI$87:AI$90)</f>
        <v>5.8648551519291103E-2</v>
      </c>
      <c r="AJ98" s="11" cm="1">
        <f t="array" ref="AJ98">MMULT($D98:$G98,AJ$87:AJ$90)</f>
        <v>4.2769022241210181E-2</v>
      </c>
      <c r="AK98" s="11" cm="1">
        <f t="array" ref="AK98">MMULT($D98:$G98,AK$87:AK$90)</f>
        <v>5.8332529026134824E-2</v>
      </c>
      <c r="AL98" s="11" cm="1">
        <f t="array" ref="AL98">MMULT($D98:$G98,AL$87:AL$90)</f>
        <v>5.092191676516946E-2</v>
      </c>
      <c r="AM98" s="11" cm="1">
        <f t="array" ref="AM98">MMULT($D98:$G98,AM$87:AM$90)</f>
        <v>3.9311975241258165E-2</v>
      </c>
      <c r="AN98" s="11" cm="1">
        <f t="array" ref="AN98">MMULT($D98:$G98,AN$87:AN$90)</f>
        <v>6.9569607631592215E-2</v>
      </c>
      <c r="AO98" s="11" cm="1">
        <f t="array" ref="AO98">MMULT($D98:$G98,AO$87:AO$90)</f>
        <v>9.3639233026490992E-2</v>
      </c>
      <c r="AP98" s="11" cm="1">
        <f t="array" ref="AP98">MMULT($D98:$G98,AP$87:AP$90)</f>
        <v>-5.2877099258654137E-3</v>
      </c>
      <c r="AQ98" s="11" cm="1">
        <f t="array" ref="AQ98">MMULT($D98:$G98,AQ$87:AQ$90)</f>
        <v>5.4774879609043349E-2</v>
      </c>
      <c r="AR98" s="11" cm="1">
        <f t="array" ref="AR98">MMULT($D98:$G98,AR$87:AR$90)</f>
        <v>-1.148976210177792E-2</v>
      </c>
      <c r="AS98" s="11" cm="1">
        <f t="array" ref="AS98">MMULT($D98:$G98,AS$87:AS$90)</f>
        <v>9.0877748513466167E-2</v>
      </c>
      <c r="AT98" s="11" cm="1">
        <f t="array" ref="AT98">MMULT($D98:$G98,AT$87:AT$90)</f>
        <v>5.6984375694711625E-2</v>
      </c>
      <c r="AU98" s="11" cm="1">
        <f t="array" ref="AU98">MMULT($D98:$G98,AU$87:AU$90)</f>
        <v>7.7822489929861405E-2</v>
      </c>
      <c r="AV98" s="11" cm="1">
        <f t="array" ref="AV98">MMULT($D98:$G98,AV$87:AV$90)</f>
        <v>8.3967399931542286E-2</v>
      </c>
      <c r="AW98" s="11" cm="1">
        <f t="array" ref="AW98">MMULT($D98:$G98,AW$87:AW$90)</f>
        <v>3.1887548285444461E-2</v>
      </c>
      <c r="AX98" s="11" cm="1">
        <f t="array" ref="AX98">MMULT($D98:$G98,AX$87:AX$90)</f>
        <v>0.10141877163458858</v>
      </c>
      <c r="AY98" s="11" cm="1">
        <f t="array" ref="AY98">MMULT($D98:$G98,AY$87:AY$90)</f>
        <v>7.9289358227481802E-2</v>
      </c>
      <c r="AZ98" s="11" cm="1">
        <f t="array" ref="AZ98">MMULT($D98:$G98,AZ$87:AZ$90)</f>
        <v>6.263410079251655E-2</v>
      </c>
      <c r="BA98" s="11" cm="1">
        <f t="array" ref="BA98">MMULT($D98:$G98,BA$87:BA$90)</f>
        <v>8.5332034472765689E-2</v>
      </c>
      <c r="BB98" s="11" cm="1">
        <f t="array" ref="BB98">MMULT($D98:$G98,BB$87:BB$90)</f>
        <v>1.0374851819666499E-2</v>
      </c>
      <c r="BC98" s="11" cm="1">
        <f t="array" ref="BC98">MMULT($D98:$G98,BC$87:BC$90)</f>
        <v>9.5449384910752944E-2</v>
      </c>
      <c r="BD98" s="11" cm="1">
        <f t="array" ref="BD98">MMULT($D98:$G98,BD$87:BD$90)</f>
        <v>2.9078404561502097E-4</v>
      </c>
      <c r="BE98" s="11" cm="1">
        <f t="array" ref="BE98">MMULT($D98:$G98,BE$87:BE$90)</f>
        <v>6.5339226743587928E-2</v>
      </c>
    </row>
    <row r="99" spans="4:57" x14ac:dyDescent="0.3">
      <c r="D99" s="9">
        <v>3.9005932638856322E-2</v>
      </c>
      <c r="E99" s="9">
        <v>8.7779928117224237E-2</v>
      </c>
      <c r="F99" s="9">
        <v>7.013859722805571E-2</v>
      </c>
      <c r="G99" s="9">
        <v>-1.2883497092440299E-2</v>
      </c>
      <c r="H99" s="21" cm="1">
        <f t="array" ref="H99">MMULT($D99:$G99,H$87:H$90)</f>
        <v>4.6010240222923993E-2</v>
      </c>
      <c r="I99" s="11" cm="1">
        <f t="array" ref="I99">MMULT($D99:$G99,I$87:I$90)</f>
        <v>5.1696039913627582E-2</v>
      </c>
      <c r="J99" s="11" cm="1">
        <f t="array" ref="J99">MMULT($D99:$G99,J$87:J$90)</f>
        <v>6.8868851541527457E-2</v>
      </c>
      <c r="K99" s="11" cm="1">
        <f t="array" ref="K99">MMULT($D99:$G99,K$87:K$90)</f>
        <v>3.7134889842969594E-2</v>
      </c>
      <c r="L99" s="11" cm="1">
        <f t="array" ref="L99">MMULT($D99:$G99,L$87:L$90)</f>
        <v>4.6648743698457118E-2</v>
      </c>
      <c r="M99" s="11" cm="1">
        <f t="array" ref="M99">MMULT($D99:$G99,M$87:M$90)</f>
        <v>3.2478985832154174E-2</v>
      </c>
      <c r="N99" s="11" cm="1">
        <f t="array" ref="N99">MMULT($D99:$G99,N$87:N$90)</f>
        <v>3.7822244999246434E-2</v>
      </c>
      <c r="O99" s="11" cm="1">
        <f t="array" ref="O99">MMULT($D99:$G99,O$87:O$90)</f>
        <v>5.9481699263872721E-2</v>
      </c>
      <c r="P99" s="11" cm="1">
        <f t="array" ref="P99">MMULT($D99:$G99,P$87:P$90)</f>
        <v>5.3431807331610889E-2</v>
      </c>
      <c r="Q99" s="11" cm="1">
        <f t="array" ref="Q99">MMULT($D99:$G99,Q$87:Q$90)</f>
        <v>6.4447021035136831E-2</v>
      </c>
      <c r="R99" s="11" cm="1">
        <f t="array" ref="R99">MMULT($D99:$G99,R$87:R$90)</f>
        <v>3.7937442336200257E-2</v>
      </c>
      <c r="S99" s="11" cm="1">
        <f t="array" ref="S99">MMULT($D99:$G99,S$87:S$90)</f>
        <v>1.4456110978623746E-2</v>
      </c>
      <c r="T99" s="11" cm="1">
        <f t="array" ref="T99">MMULT($D99:$G99,T$87:T$90)</f>
        <v>5.7918048531822329E-2</v>
      </c>
      <c r="U99" s="11" cm="1">
        <f t="array" ref="U99">MMULT($D99:$G99,U$87:U$90)</f>
        <v>5.4358820053090173E-2</v>
      </c>
      <c r="V99" s="11" cm="1">
        <f t="array" ref="V99">MMULT($D99:$G99,V$87:V$90)</f>
        <v>3.8710020457120672E-2</v>
      </c>
      <c r="W99" s="11" cm="1">
        <f t="array" ref="W99">MMULT($D99:$G99,W$87:W$90)</f>
        <v>6.782323684524999E-2</v>
      </c>
      <c r="X99" s="11" cm="1">
        <f t="array" ref="X99">MMULT($D99:$G99,X$87:X$90)</f>
        <v>6.1701669318724991E-2</v>
      </c>
      <c r="Y99" s="11" cm="1">
        <f t="array" ref="Y99">MMULT($D99:$G99,Y$87:Y$90)</f>
        <v>6.2580637946462375E-2</v>
      </c>
      <c r="Z99" s="11" cm="1">
        <f t="array" ref="Z99">MMULT($D99:$G99,Z$87:Z$90)</f>
        <v>3.9665058873748119E-2</v>
      </c>
      <c r="AA99" s="11" cm="1">
        <f t="array" ref="AA99">MMULT($D99:$G99,AA$87:AA$90)</f>
        <v>2.069084956598867E-2</v>
      </c>
      <c r="AB99" s="11" cm="1">
        <f t="array" ref="AB99">MMULT($D99:$G99,AB$87:AB$90)</f>
        <v>2.9378094045700593E-2</v>
      </c>
      <c r="AC99" s="11" cm="1">
        <f t="array" ref="AC99">MMULT($D99:$G99,AC$87:AC$90)</f>
        <v>4.200100072030076E-2</v>
      </c>
      <c r="AD99" s="11" cm="1">
        <f t="array" ref="AD99">MMULT($D99:$G99,AD$87:AD$90)</f>
        <v>1.236340132409524E-2</v>
      </c>
      <c r="AE99" s="11" cm="1">
        <f t="array" ref="AE99">MMULT($D99:$G99,AE$87:AE$90)</f>
        <v>3.5973453493369278E-2</v>
      </c>
      <c r="AF99" s="11" cm="1">
        <f t="array" ref="AF99">MMULT($D99:$G99,AF$87:AF$90)</f>
        <v>4.4433655144785825E-2</v>
      </c>
      <c r="AG99" s="11" cm="1">
        <f t="array" ref="AG99">MMULT($D99:$G99,AG$87:AG$90)</f>
        <v>3.5125173620614895E-2</v>
      </c>
      <c r="AH99" s="11" cm="1">
        <f t="array" ref="AH99">MMULT($D99:$G99,AH$87:AH$90)</f>
        <v>5.4008902871781339E-2</v>
      </c>
      <c r="AI99" s="11" cm="1">
        <f t="array" ref="AI99">MMULT($D99:$G99,AI$87:AI$90)</f>
        <v>4.2886119359515619E-2</v>
      </c>
      <c r="AJ99" s="11" cm="1">
        <f t="array" ref="AJ99">MMULT($D99:$G99,AJ$87:AJ$90)</f>
        <v>5.4501807162320434E-2</v>
      </c>
      <c r="AK99" s="11" cm="1">
        <f t="array" ref="AK99">MMULT($D99:$G99,AK$87:AK$90)</f>
        <v>4.33409880067952E-2</v>
      </c>
      <c r="AL99" s="11" cm="1">
        <f t="array" ref="AL99">MMULT($D99:$G99,AL$87:AL$90)</f>
        <v>4.6991077872949892E-2</v>
      </c>
      <c r="AM99" s="11" cm="1">
        <f t="array" ref="AM99">MMULT($D99:$G99,AM$87:AM$90)</f>
        <v>3.6717259866372254E-2</v>
      </c>
      <c r="AN99" s="11" cm="1">
        <f t="array" ref="AN99">MMULT($D99:$G99,AN$87:AN$90)</f>
        <v>3.307382385850588E-2</v>
      </c>
      <c r="AO99" s="11" cm="1">
        <f t="array" ref="AO99">MMULT($D99:$G99,AO$87:AO$90)</f>
        <v>3.0204142248597174E-2</v>
      </c>
      <c r="AP99" s="11" cm="1">
        <f t="array" ref="AP99">MMULT($D99:$G99,AP$87:AP$90)</f>
        <v>6.3077892518080644E-2</v>
      </c>
      <c r="AQ99" s="11" cm="1">
        <f t="array" ref="AQ99">MMULT($D99:$G99,AQ$87:AQ$90)</f>
        <v>3.1776271879698156E-2</v>
      </c>
      <c r="AR99" s="11" cm="1">
        <f t="array" ref="AR99">MMULT($D99:$G99,AR$87:AR$90)</f>
        <v>6.151807899317828E-2</v>
      </c>
      <c r="AS99" s="11" cm="1">
        <f t="array" ref="AS99">MMULT($D99:$G99,AS$87:AS$90)</f>
        <v>2.2161190112134216E-2</v>
      </c>
      <c r="AT99" s="11" cm="1">
        <f t="array" ref="AT99">MMULT($D99:$G99,AT$87:AT$90)</f>
        <v>4.3339108563156849E-2</v>
      </c>
      <c r="AU99" s="11" cm="1">
        <f t="array" ref="AU99">MMULT($D99:$G99,AU$87:AU$90)</f>
        <v>4.8832945843301542E-2</v>
      </c>
      <c r="AV99" s="11" cm="1">
        <f t="array" ref="AV99">MMULT($D99:$G99,AV$87:AV$90)</f>
        <v>4.1904097825892106E-2</v>
      </c>
      <c r="AW99" s="11" cm="1">
        <f t="array" ref="AW99">MMULT($D99:$G99,AW$87:AW$90)</f>
        <v>7.8168325391607438E-2</v>
      </c>
      <c r="AX99" s="11" cm="1">
        <f t="array" ref="AX99">MMULT($D99:$G99,AX$87:AX$90)</f>
        <v>3.4203370417370857E-2</v>
      </c>
      <c r="AY99" s="11" cm="1">
        <f t="array" ref="AY99">MMULT($D99:$G99,AY$87:AY$90)</f>
        <v>5.0498359889860622E-2</v>
      </c>
      <c r="AZ99" s="11" cm="1">
        <f t="array" ref="AZ99">MMULT($D99:$G99,AZ$87:AZ$90)</f>
        <v>3.7895089045931973E-2</v>
      </c>
      <c r="BA99" s="11" cm="1">
        <f t="array" ref="BA99">MMULT($D99:$G99,BA$87:BA$90)</f>
        <v>1.9165269326700686E-2</v>
      </c>
      <c r="BB99" s="11" cm="1">
        <f t="array" ref="BB99">MMULT($D99:$G99,BB$87:BB$90)</f>
        <v>7.2946125530192751E-2</v>
      </c>
      <c r="BC99" s="11" cm="1">
        <f t="array" ref="BC99">MMULT($D99:$G99,BC$87:BC$90)</f>
        <v>1.7158840273166526E-2</v>
      </c>
      <c r="BD99" s="11" cm="1">
        <f t="array" ref="BD99">MMULT($D99:$G99,BD$87:BD$90)</f>
        <v>5.3158410629864067E-2</v>
      </c>
      <c r="BE99" s="11" cm="1">
        <f t="array" ref="BE99">MMULT($D99:$G99,BE$87:BE$90)</f>
        <v>3.3889168621788354E-2</v>
      </c>
    </row>
    <row r="100" spans="4:57" x14ac:dyDescent="0.3">
      <c r="D100" s="9">
        <v>4.289182627461563E-2</v>
      </c>
      <c r="E100" s="9">
        <v>3.6535773287584172E-2</v>
      </c>
      <c r="F100" s="9">
        <v>-3.2238169993272003E-2</v>
      </c>
      <c r="G100" s="9">
        <v>-8.6384642730181316E-2</v>
      </c>
      <c r="H100" s="21" cm="1">
        <f t="array" ref="H100">MMULT($D100:$G100,H$87:H$90)</f>
        <v>-9.7988032903133793E-3</v>
      </c>
      <c r="I100" s="11" cm="1">
        <f t="array" ref="I100">MMULT($D100:$G100,I$87:I$90)</f>
        <v>-1.1287025553192127E-2</v>
      </c>
      <c r="J100" s="11" cm="1">
        <f t="array" ref="J100">MMULT($D100:$G100,J$87:J$90)</f>
        <v>1.0895655810205891E-2</v>
      </c>
      <c r="K100" s="11" cm="1">
        <f t="array" ref="K100">MMULT($D100:$G100,K$87:K$90)</f>
        <v>-2.9797962399120137E-2</v>
      </c>
      <c r="L100" s="11" cm="1">
        <f t="array" ref="L100">MMULT($D100:$G100,L$87:L$90)</f>
        <v>1.6736483537627182E-2</v>
      </c>
      <c r="M100" s="11" cm="1">
        <f t="array" ref="M100">MMULT($D100:$G100,M$87:M$90)</f>
        <v>2.9503496495023665E-3</v>
      </c>
      <c r="N100" s="11" cm="1">
        <f t="array" ref="N100">MMULT($D100:$G100,N$87:N$90)</f>
        <v>-1.1374175152836168E-2</v>
      </c>
      <c r="O100" s="11" cm="1">
        <f t="array" ref="O100">MMULT($D100:$G100,O$87:O$90)</f>
        <v>-2.2927503074697101E-2</v>
      </c>
      <c r="P100" s="11" cm="1">
        <f t="array" ref="P100">MMULT($D100:$G100,P$87:P$90)</f>
        <v>2.2753118817903416E-3</v>
      </c>
      <c r="Q100" s="11" cm="1">
        <f t="array" ref="Q100">MMULT($D100:$G100,Q$87:Q$90)</f>
        <v>3.1490501048800582E-3</v>
      </c>
      <c r="R100" s="11" cm="1">
        <f t="array" ref="R100">MMULT($D100:$G100,R$87:R$90)</f>
        <v>4.0570741537837643E-3</v>
      </c>
      <c r="S100" s="11" cm="1">
        <f t="array" ref="S100">MMULT($D100:$G100,S$87:S$90)</f>
        <v>-5.0626911548091312E-2</v>
      </c>
      <c r="T100" s="11" cm="1">
        <f t="array" ref="T100">MMULT($D100:$G100,T$87:T$90)</f>
        <v>7.4129759516153859E-3</v>
      </c>
      <c r="U100" s="11" cm="1">
        <f t="array" ref="U100">MMULT($D100:$G100,U$87:U$90)</f>
        <v>3.0203146779768188E-2</v>
      </c>
      <c r="V100" s="11" cm="1">
        <f t="array" ref="V100">MMULT($D100:$G100,V$87:V$90)</f>
        <v>-2.013282977280146E-2</v>
      </c>
      <c r="W100" s="11" cm="1">
        <f t="array" ref="W100">MMULT($D100:$G100,W$87:W$90)</f>
        <v>1.3076740630959212E-2</v>
      </c>
      <c r="X100" s="11" cm="1">
        <f t="array" ref="X100">MMULT($D100:$G100,X$87:X$90)</f>
        <v>-1.5012384806074894E-2</v>
      </c>
      <c r="Y100" s="11" cm="1">
        <f t="array" ref="Y100">MMULT($D100:$G100,Y$87:Y$90)</f>
        <v>-1.5166297317047474E-3</v>
      </c>
      <c r="Z100" s="11" cm="1">
        <f t="array" ref="Z100">MMULT($D100:$G100,Z$87:Z$90)</f>
        <v>7.0088272340700225E-3</v>
      </c>
      <c r="AA100" s="11" cm="1">
        <f t="array" ref="AA100">MMULT($D100:$G100,AA$87:AA$90)</f>
        <v>-3.0732654678351665E-2</v>
      </c>
      <c r="AB100" s="11" cm="1">
        <f t="array" ref="AB100">MMULT($D100:$G100,AB$87:AB$90)</f>
        <v>-3.6811543606817654E-2</v>
      </c>
      <c r="AC100" s="11" cm="1">
        <f t="array" ref="AC100">MMULT($D100:$G100,AC$87:AC$90)</f>
        <v>-3.2324801305315336E-2</v>
      </c>
      <c r="AD100" s="11" cm="1">
        <f t="array" ref="AD100">MMULT($D100:$G100,AD$87:AD$90)</f>
        <v>-3.9793694695955409E-2</v>
      </c>
      <c r="AE100" s="11" cm="1">
        <f t="array" ref="AE100">MMULT($D100:$G100,AE$87:AE$90)</f>
        <v>-7.2640936313842254E-3</v>
      </c>
      <c r="AF100" s="11" cm="1">
        <f t="array" ref="AF100">MMULT($D100:$G100,AF$87:AF$90)</f>
        <v>-3.8114968846331157E-2</v>
      </c>
      <c r="AG100" s="11" cm="1">
        <f t="array" ref="AG100">MMULT($D100:$G100,AG$87:AG$90)</f>
        <v>1.0279580745456492E-2</v>
      </c>
      <c r="AH100" s="11" cm="1">
        <f t="array" ref="AH100">MMULT($D100:$G100,AH$87:AH$90)</f>
        <v>2.0755508627314255E-2</v>
      </c>
      <c r="AI100" s="11" cm="1">
        <f t="array" ref="AI100">MMULT($D100:$G100,AI$87:AI$90)</f>
        <v>2.4329655238208577E-2</v>
      </c>
      <c r="AJ100" s="11" cm="1">
        <f t="array" ref="AJ100">MMULT($D100:$G100,AJ$87:AJ$90)</f>
        <v>-8.7751088443297157E-3</v>
      </c>
      <c r="AK100" s="11" cm="1">
        <f t="array" ref="AK100">MMULT($D100:$G100,AK$87:AK$90)</f>
        <v>1.093293940333042E-2</v>
      </c>
      <c r="AL100" s="11" cm="1">
        <f t="array" ref="AL100">MMULT($D100:$G100,AL$87:AL$90)</f>
        <v>2.8645404022754745E-2</v>
      </c>
      <c r="AM100" s="11" cm="1">
        <f t="array" ref="AM100">MMULT($D100:$G100,AM$87:AM$90)</f>
        <v>-3.2404625811722619E-2</v>
      </c>
      <c r="AN100" s="11" cm="1">
        <f t="array" ref="AN100">MMULT($D100:$G100,AN$87:AN$90)</f>
        <v>-3.2048698886385549E-2</v>
      </c>
      <c r="AO100" s="11" cm="1">
        <f t="array" ref="AO100">MMULT($D100:$G100,AO$87:AO$90)</f>
        <v>-2.7467890842141067E-2</v>
      </c>
      <c r="AP100" s="11" cm="1">
        <f t="array" ref="AP100">MMULT($D100:$G100,AP$87:AP$90)</f>
        <v>-1.0385106405186688E-2</v>
      </c>
      <c r="AQ100" s="11" cm="1">
        <f t="array" ref="AQ100">MMULT($D100:$G100,AQ$87:AQ$90)</f>
        <v>-3.0175408900352502E-2</v>
      </c>
      <c r="AR100" s="11" cm="1">
        <f t="array" ref="AR100">MMULT($D100:$G100,AR$87:AR$90)</f>
        <v>-8.9377326134584423E-3</v>
      </c>
      <c r="AS100" s="11" cm="1">
        <f t="array" ref="AS100">MMULT($D100:$G100,AS$87:AS$90)</f>
        <v>-1.505780730138076E-2</v>
      </c>
      <c r="AT100" s="11" cm="1">
        <f t="array" ref="AT100">MMULT($D100:$G100,AT$87:AT$90)</f>
        <v>-2.8984625558439975E-2</v>
      </c>
      <c r="AU100" s="11" cm="1">
        <f t="array" ref="AU100">MMULT($D100:$G100,AU$87:AU$90)</f>
        <v>-4.9463431820533608E-3</v>
      </c>
      <c r="AV100" s="11" cm="1">
        <f t="array" ref="AV100">MMULT($D100:$G100,AV$87:AV$90)</f>
        <v>-4.9009725305575458E-3</v>
      </c>
      <c r="AW100" s="11" cm="1">
        <f t="array" ref="AW100">MMULT($D100:$G100,AW$87:AW$90)</f>
        <v>1.4814818072031458E-2</v>
      </c>
      <c r="AX100" s="11" cm="1">
        <f t="array" ref="AX100">MMULT($D100:$G100,AX$87:AX$90)</f>
        <v>-2.4859132748377286E-2</v>
      </c>
      <c r="AY100" s="11" cm="1">
        <f t="array" ref="AY100">MMULT($D100:$G100,AY$87:AY$90)</f>
        <v>-3.6630466457665857E-3</v>
      </c>
      <c r="AZ100" s="11" cm="1">
        <f t="array" ref="AZ100">MMULT($D100:$G100,AZ$87:AZ$90)</f>
        <v>5.8862862188654025E-3</v>
      </c>
      <c r="BA100" s="11" cm="1">
        <f t="array" ref="BA100">MMULT($D100:$G100,BA$87:BA$90)</f>
        <v>-3.8615644776605146E-2</v>
      </c>
      <c r="BB100" s="11" cm="1">
        <f t="array" ref="BB100">MMULT($D100:$G100,BB$87:BB$90)</f>
        <v>1.7042945236531888E-3</v>
      </c>
      <c r="BC100" s="11" cm="1">
        <f t="array" ref="BC100">MMULT($D100:$G100,BC$87:BC$90)</f>
        <v>-4.1732754976896574E-2</v>
      </c>
      <c r="BD100" s="11" cm="1">
        <f t="array" ref="BD100">MMULT($D100:$G100,BD$87:BD$90)</f>
        <v>-3.6683606474041744E-2</v>
      </c>
      <c r="BE100" s="11" cm="1">
        <f t="array" ref="BE100">MMULT($D100:$G100,BE$87:BE$90)</f>
        <v>-3.3380287762024403E-2</v>
      </c>
    </row>
    <row r="101" spans="4:57" x14ac:dyDescent="0.3">
      <c r="D101" s="9">
        <v>1.8106570098292973E-3</v>
      </c>
      <c r="E101" s="9">
        <v>-2.8627475019922688E-2</v>
      </c>
      <c r="F101" s="9">
        <v>-6.2568796709344787E-2</v>
      </c>
      <c r="G101" s="9">
        <v>-4.5858810450250198E-2</v>
      </c>
      <c r="H101" s="21" cm="1">
        <f t="array" ref="H101">MMULT($D101:$G101,H$87:H$90)</f>
        <v>-3.3811106292422094E-2</v>
      </c>
      <c r="I101" s="11" cm="1">
        <f t="array" ref="I101">MMULT($D101:$G101,I$87:I$90)</f>
        <v>-3.7760000280074417E-2</v>
      </c>
      <c r="J101" s="11" cm="1">
        <f t="array" ref="J101">MMULT($D101:$G101,J$87:J$90)</f>
        <v>-3.4059959764314245E-2</v>
      </c>
      <c r="K101" s="11" cm="1">
        <f t="array" ref="K101">MMULT($D101:$G101,K$87:K$90)</f>
        <v>-4.1121052009047823E-2</v>
      </c>
      <c r="L101" s="11" cm="1">
        <f t="array" ref="L101">MMULT($D101:$G101,L$87:L$90)</f>
        <v>-1.8060815646113351E-2</v>
      </c>
      <c r="M101" s="11" cm="1">
        <f t="array" ref="M101">MMULT($D101:$G101,M$87:M$90)</f>
        <v>-1.8172938813799958E-2</v>
      </c>
      <c r="N101" s="11" cm="1">
        <f t="array" ref="N101">MMULT($D101:$G101,N$87:N$90)</f>
        <v>-2.9743617592922079E-2</v>
      </c>
      <c r="O101" s="11" cm="1">
        <f t="array" ref="O101">MMULT($D101:$G101,O$87:O$90)</f>
        <v>-4.9790171673133904E-2</v>
      </c>
      <c r="P101" s="11" cm="1">
        <f t="array" ref="P101">MMULT($D101:$G101,P$87:P$90)</f>
        <v>-3.1327036018040856E-2</v>
      </c>
      <c r="Q101" s="11" cm="1">
        <f t="array" ref="Q101">MMULT($D101:$G101,Q$87:Q$90)</f>
        <v>-3.6553573600632834E-2</v>
      </c>
      <c r="R101" s="11" cm="1">
        <f t="array" ref="R101">MMULT($D101:$G101,R$87:R$90)</f>
        <v>-2.0725674236537012E-2</v>
      </c>
      <c r="S101" s="11" cm="1">
        <f t="array" ref="S101">MMULT($D101:$G101,S$87:S$90)</f>
        <v>-4.0266265679670919E-2</v>
      </c>
      <c r="T101" s="11" cm="1">
        <f t="array" ref="T101">MMULT($D101:$G101,T$87:T$90)</f>
        <v>-3.0167780222629705E-2</v>
      </c>
      <c r="U101" s="11" cm="1">
        <f t="array" ref="U101">MMULT($D101:$G101,U$87:U$90)</f>
        <v>-1.4432323726541567E-2</v>
      </c>
      <c r="V101" s="11" cm="1">
        <f t="array" ref="V101">MMULT($D101:$G101,V$87:V$90)</f>
        <v>-3.5677068750762986E-2</v>
      </c>
      <c r="W101" s="11" cm="1">
        <f t="array" ref="W101">MMULT($D101:$G101,W$87:W$90)</f>
        <v>-3.251140170578936E-2</v>
      </c>
      <c r="X101" s="11" cm="1">
        <f t="array" ref="X101">MMULT($D101:$G101,X$87:X$90)</f>
        <v>-4.6637255300433722E-2</v>
      </c>
      <c r="Y101" s="11" cm="1">
        <f t="array" ref="Y101">MMULT($D101:$G101,Y$87:Y$90)</f>
        <v>-3.7940958879766257E-2</v>
      </c>
      <c r="Z101" s="11" cm="1">
        <f t="array" ref="Z101">MMULT($D101:$G101,Z$87:Z$90)</f>
        <v>-2.022318115569597E-2</v>
      </c>
      <c r="AA101" s="11" cm="1">
        <f t="array" ref="AA101">MMULT($D101:$G101,AA$87:AA$90)</f>
        <v>-3.164234331307314E-2</v>
      </c>
      <c r="AB101" s="11" cm="1">
        <f t="array" ref="AB101">MMULT($D101:$G101,AB$87:AB$90)</f>
        <v>-4.0395205310196858E-2</v>
      </c>
      <c r="AC101" s="11" cm="1">
        <f t="array" ref="AC101">MMULT($D101:$G101,AC$87:AC$90)</f>
        <v>-4.549407953473978E-2</v>
      </c>
      <c r="AD101" s="11" cm="1">
        <f t="array" ref="AD101">MMULT($D101:$G101,AD$87:AD$90)</f>
        <v>-3.2350929662060345E-2</v>
      </c>
      <c r="AE101" s="11" cm="1">
        <f t="array" ref="AE101">MMULT($D101:$G101,AE$87:AE$90)</f>
        <v>-2.649867694283746E-2</v>
      </c>
      <c r="AF101" s="11" cm="1">
        <f t="array" ref="AF101">MMULT($D101:$G101,AF$87:AF$90)</f>
        <v>-5.0730865948907813E-2</v>
      </c>
      <c r="AG101" s="11" cm="1">
        <f t="array" ref="AG101">MMULT($D101:$G101,AG$87:AG$90)</f>
        <v>-1.5388900941825663E-2</v>
      </c>
      <c r="AH101" s="11" cm="1">
        <f t="array" ref="AH101">MMULT($D101:$G101,AH$87:AH$90)</f>
        <v>-2.0053086041732438E-2</v>
      </c>
      <c r="AI101" s="11" cm="1">
        <f t="array" ref="AI101">MMULT($D101:$G101,AI$87:AI$90)</f>
        <v>-1.1441499583711649E-2</v>
      </c>
      <c r="AJ101" s="11" cm="1">
        <f t="array" ref="AJ101">MMULT($D101:$G101,AJ$87:AJ$90)</f>
        <v>-3.8000146857912045E-2</v>
      </c>
      <c r="AK101" s="11" cm="1">
        <f t="array" ref="AK101">MMULT($D101:$G101,AK$87:AK$90)</f>
        <v>-1.9753833799692616E-2</v>
      </c>
      <c r="AL101" s="11" cm="1">
        <f t="array" ref="AL101">MMULT($D101:$G101,AL$87:AL$90)</f>
        <v>-1.1236500137526695E-2</v>
      </c>
      <c r="AM101" s="11" cm="1">
        <f t="array" ref="AM101">MMULT($D101:$G101,AM$87:AM$90)</f>
        <v>-4.2593050001640244E-2</v>
      </c>
      <c r="AN101" s="11" cm="1">
        <f t="array" ref="AN101">MMULT($D101:$G101,AN$87:AN$90)</f>
        <v>-3.978905898074088E-2</v>
      </c>
      <c r="AO101" s="11" cm="1">
        <f t="array" ref="AO101">MMULT($D101:$G101,AO$87:AO$90)</f>
        <v>-3.4989042393071941E-2</v>
      </c>
      <c r="AP101" s="11" cm="1">
        <f t="array" ref="AP101">MMULT($D101:$G101,AP$87:AP$90)</f>
        <v>-4.4601712757096575E-2</v>
      </c>
      <c r="AQ101" s="11" cm="1">
        <f t="array" ref="AQ101">MMULT($D101:$G101,AQ$87:AQ$90)</f>
        <v>-3.8251078002933259E-2</v>
      </c>
      <c r="AR101" s="11" cm="1">
        <f t="array" ref="AR101">MMULT($D101:$G101,AR$87:AR$90)</f>
        <v>-4.3005264870404708E-2</v>
      </c>
      <c r="AS101" s="11" cm="1">
        <f t="array" ref="AS101">MMULT($D101:$G101,AS$87:AS$90)</f>
        <v>-2.319750986512301E-2</v>
      </c>
      <c r="AT101" s="11" cm="1">
        <f t="array" ref="AT101">MMULT($D101:$G101,AT$87:AT$90)</f>
        <v>-4.3790378123112234E-2</v>
      </c>
      <c r="AU101" s="11" cm="1">
        <f t="array" ref="AU101">MMULT($D101:$G101,AU$87:AU$90)</f>
        <v>-3.1907851297113821E-2</v>
      </c>
      <c r="AV101" s="11" cm="1">
        <f t="array" ref="AV101">MMULT($D101:$G101,AV$87:AV$90)</f>
        <v>-2.7982706832411438E-2</v>
      </c>
      <c r="AW101" s="11" cm="1">
        <f t="array" ref="AW101">MMULT($D101:$G101,AW$87:AW$90)</f>
        <v>-3.6922338907130821E-2</v>
      </c>
      <c r="AX101" s="11" cm="1">
        <f t="array" ref="AX101">MMULT($D101:$G101,AX$87:AX$90)</f>
        <v>-3.5443227668044169E-2</v>
      </c>
      <c r="AY101" s="11" cm="1">
        <f t="array" ref="AY101">MMULT($D101:$G101,AY$87:AY$90)</f>
        <v>-3.2013979093258003E-2</v>
      </c>
      <c r="AZ101" s="11" cm="1">
        <f t="array" ref="AZ101">MMULT($D101:$G101,AZ$87:AZ$90)</f>
        <v>-1.9736365388749337E-2</v>
      </c>
      <c r="BA101" s="11" cm="1">
        <f t="array" ref="BA101">MMULT($D101:$G101,BA$87:BA$90)</f>
        <v>-3.5846274999006389E-2</v>
      </c>
      <c r="BB101" s="11" cm="1">
        <f t="array" ref="BB101">MMULT($D101:$G101,BB$87:BB$90)</f>
        <v>-4.2393243468612264E-2</v>
      </c>
      <c r="BC101" s="11" cm="1">
        <f t="array" ref="BC101">MMULT($D101:$G101,BC$87:BC$90)</f>
        <v>-3.6425828796771864E-2</v>
      </c>
      <c r="BD101" s="11" cm="1">
        <f t="array" ref="BD101">MMULT($D101:$G101,BD$87:BD$90)</f>
        <v>-5.490448898858389E-2</v>
      </c>
      <c r="BE101" s="11" cm="1">
        <f t="array" ref="BE101">MMULT($D101:$G101,BE$87:BE$90)</f>
        <v>-4.1118804174379825E-2</v>
      </c>
    </row>
    <row r="102" spans="4:57" x14ac:dyDescent="0.3">
      <c r="D102" s="9">
        <v>1.4588174541698917E-2</v>
      </c>
      <c r="E102" s="9">
        <v>3.7170263788968816E-2</v>
      </c>
      <c r="F102" s="9">
        <v>-1.1433162350905302E-2</v>
      </c>
      <c r="G102" s="9">
        <v>9.0300029129042336E-3</v>
      </c>
      <c r="H102" s="21" cm="1">
        <f t="array" ref="H102">MMULT($D102:$G102,H$87:H$90)</f>
        <v>1.2338819723166666E-2</v>
      </c>
      <c r="I102" s="11" cm="1">
        <f t="array" ref="I102">MMULT($D102:$G102,I$87:I$90)</f>
        <v>1.5699524879576324E-2</v>
      </c>
      <c r="J102" s="11" cm="1">
        <f t="array" ref="J102">MMULT($D102:$G102,J$87:J$90)</f>
        <v>2.1083306634735257E-2</v>
      </c>
      <c r="K102" s="11" cm="1">
        <f t="array" ref="K102">MMULT($D102:$G102,K$87:K$90)</f>
        <v>4.7023085232899605E-3</v>
      </c>
      <c r="L102" s="11" cm="1">
        <f t="array" ref="L102">MMULT($D102:$G102,L$87:L$90)</f>
        <v>1.678884419317931E-2</v>
      </c>
      <c r="M102" s="11" cm="1">
        <f t="array" ref="M102">MMULT($D102:$G102,M$87:M$90)</f>
        <v>1.625862529669047E-2</v>
      </c>
      <c r="N102" s="11" cm="1">
        <f t="array" ref="N102">MMULT($D102:$G102,N$87:N$90)</f>
        <v>1.7113879439246128E-2</v>
      </c>
      <c r="O102" s="11" cm="1">
        <f t="array" ref="O102">MMULT($D102:$G102,O$87:O$90)</f>
        <v>6.037526996071416E-3</v>
      </c>
      <c r="P102" s="11" cm="1">
        <f t="array" ref="P102">MMULT($D102:$G102,P$87:P$90)</f>
        <v>5.061544519445218E-3</v>
      </c>
      <c r="Q102" s="11" cm="1">
        <f t="array" ref="Q102">MMULT($D102:$G102,Q$87:Q$90)</f>
        <v>1.4472706098034843E-2</v>
      </c>
      <c r="R102" s="11" cm="1">
        <f t="array" ref="R102">MMULT($D102:$G102,R$87:R$90)</f>
        <v>1.5078251254428182E-2</v>
      </c>
      <c r="S102" s="11" cm="1">
        <f t="array" ref="S102">MMULT($D102:$G102,S$87:S$90)</f>
        <v>8.6018624158276536E-3</v>
      </c>
      <c r="T102" s="11" cm="1">
        <f t="array" ref="T102">MMULT($D102:$G102,T$87:T$90)</f>
        <v>1.5835932909247286E-2</v>
      </c>
      <c r="U102" s="11" cm="1">
        <f t="array" ref="U102">MMULT($D102:$G102,U$87:U$90)</f>
        <v>1.7183315070940803E-2</v>
      </c>
      <c r="V102" s="11" cm="1">
        <f t="array" ref="V102">MMULT($D102:$G102,V$87:V$90)</f>
        <v>1.3999010784878786E-2</v>
      </c>
      <c r="W102" s="11" cm="1">
        <f t="array" ref="W102">MMULT($D102:$G102,W$87:W$90)</f>
        <v>1.5401888214964087E-2</v>
      </c>
      <c r="X102" s="11" cm="1">
        <f t="array" ref="X102">MMULT($D102:$G102,X$87:X$90)</f>
        <v>1.3150865799813533E-3</v>
      </c>
      <c r="Y102" s="11" cm="1">
        <f t="array" ref="Y102">MMULT($D102:$G102,Y$87:Y$90)</f>
        <v>1.9663222247050523E-2</v>
      </c>
      <c r="Z102" s="11" cm="1">
        <f t="array" ref="Z102">MMULT($D102:$G102,Z$87:Z$90)</f>
        <v>1.0822530033653995E-2</v>
      </c>
      <c r="AA102" s="11" cm="1">
        <f t="array" ref="AA102">MMULT($D102:$G102,AA$87:AA$90)</f>
        <v>1.3960495653355158E-2</v>
      </c>
      <c r="AB102" s="11" cm="1">
        <f t="array" ref="AB102">MMULT($D102:$G102,AB$87:AB$90)</f>
        <v>1.1920752063437335E-2</v>
      </c>
      <c r="AC102" s="11" cm="1">
        <f t="array" ref="AC102">MMULT($D102:$G102,AC$87:AC$90)</f>
        <v>3.6495431898975798E-3</v>
      </c>
      <c r="AD102" s="11" cm="1">
        <f t="array" ref="AD102">MMULT($D102:$G102,AD$87:AD$90)</f>
        <v>1.2524631567918984E-2</v>
      </c>
      <c r="AE102" s="11" cm="1">
        <f t="array" ref="AE102">MMULT($D102:$G102,AE$87:AE$90)</f>
        <v>1.2760385689960917E-2</v>
      </c>
      <c r="AF102" s="11" cm="1">
        <f t="array" ref="AF102">MMULT($D102:$G102,AF$87:AF$90)</f>
        <v>-2.4549034197331268E-3</v>
      </c>
      <c r="AG102" s="11" cm="1">
        <f t="array" ref="AG102">MMULT($D102:$G102,AG$87:AG$90)</f>
        <v>1.5155095850924347E-2</v>
      </c>
      <c r="AH102" s="11" cm="1">
        <f t="array" ref="AH102">MMULT($D102:$G102,AH$87:AH$90)</f>
        <v>1.426143946566661E-2</v>
      </c>
      <c r="AI102" s="11" cm="1">
        <f t="array" ref="AI102">MMULT($D102:$G102,AI$87:AI$90)</f>
        <v>1.5548204563427263E-2</v>
      </c>
      <c r="AJ102" s="11" cm="1">
        <f t="array" ref="AJ102">MMULT($D102:$G102,AJ$87:AJ$90)</f>
        <v>1.3686352280157041E-2</v>
      </c>
      <c r="AK102" s="11" cm="1">
        <f t="array" ref="AK102">MMULT($D102:$G102,AK$87:AK$90)</f>
        <v>1.4686223034400477E-2</v>
      </c>
      <c r="AL102" s="11" cm="1">
        <f t="array" ref="AL102">MMULT($D102:$G102,AL$87:AL$90)</f>
        <v>1.538719068173563E-2</v>
      </c>
      <c r="AM102" s="11" cm="1">
        <f t="array" ref="AM102">MMULT($D102:$G102,AM$87:AM$90)</f>
        <v>2.2007858975474819E-3</v>
      </c>
      <c r="AN102" s="11" cm="1">
        <f t="array" ref="AN102">MMULT($D102:$G102,AN$87:AN$90)</f>
        <v>1.0140565461430318E-2</v>
      </c>
      <c r="AO102" s="11" cm="1">
        <f t="array" ref="AO102">MMULT($D102:$G102,AO$87:AO$90)</f>
        <v>1.6785518818427013E-2</v>
      </c>
      <c r="AP102" s="11" cm="1">
        <f t="array" ref="AP102">MMULT($D102:$G102,AP$87:AP$90)</f>
        <v>2.355626481265602E-3</v>
      </c>
      <c r="AQ102" s="11" cm="1">
        <f t="array" ref="AQ102">MMULT($D102:$G102,AQ$87:AQ$90)</f>
        <v>4.9113650191073468E-3</v>
      </c>
      <c r="AR102" s="11" cm="1">
        <f t="array" ref="AR102">MMULT($D102:$G102,AR$87:AR$90)</f>
        <v>-2.8188193847570881E-4</v>
      </c>
      <c r="AS102" s="11" cm="1">
        <f t="array" ref="AS102">MMULT($D102:$G102,AS$87:AS$90)</f>
        <v>1.290073325574039E-2</v>
      </c>
      <c r="AT102" s="11" cm="1">
        <f t="array" ref="AT102">MMULT($D102:$G102,AT$87:AT$90)</f>
        <v>1.1327802727333509E-2</v>
      </c>
      <c r="AU102" s="11" cm="1">
        <f t="array" ref="AU102">MMULT($D102:$G102,AU$87:AU$90)</f>
        <v>2.2431015718214525E-2</v>
      </c>
      <c r="AV102" s="11" cm="1">
        <f t="array" ref="AV102">MMULT($D102:$G102,AV$87:AV$90)</f>
        <v>2.1032417372911519E-2</v>
      </c>
      <c r="AW102" s="11" cm="1">
        <f t="array" ref="AW102">MMULT($D102:$G102,AW$87:AW$90)</f>
        <v>2.3439254732045278E-2</v>
      </c>
      <c r="AX102" s="11" cm="1">
        <f t="array" ref="AX102">MMULT($D102:$G102,AX$87:AX$90)</f>
        <v>2.1411337580128399E-2</v>
      </c>
      <c r="AY102" s="11" cm="1">
        <f t="array" ref="AY102">MMULT($D102:$G102,AY$87:AY$90)</f>
        <v>2.3804344738211768E-2</v>
      </c>
      <c r="AZ102" s="11" cm="1">
        <f t="array" ref="AZ102">MMULT($D102:$G102,AZ$87:AZ$90)</f>
        <v>1.3045361927852116E-2</v>
      </c>
      <c r="BA102" s="11" cm="1">
        <f t="array" ref="BA102">MMULT($D102:$G102,BA$87:BA$90)</f>
        <v>7.9421742164735402E-3</v>
      </c>
      <c r="BB102" s="11" cm="1">
        <f t="array" ref="BB102">MMULT($D102:$G102,BB$87:BB$90)</f>
        <v>1.305319674064224E-2</v>
      </c>
      <c r="BC102" s="11" cm="1">
        <f t="array" ref="BC102">MMULT($D102:$G102,BC$87:BC$90)</f>
        <v>9.9766086086021076E-3</v>
      </c>
      <c r="BD102" s="11" cm="1">
        <f t="array" ref="BD102">MMULT($D102:$G102,BD$87:BD$90)</f>
        <v>-2.6093571767062886E-3</v>
      </c>
      <c r="BE102" s="11" cm="1">
        <f t="array" ref="BE102">MMULT($D102:$G102,BE$87:BE$90)</f>
        <v>9.0852842557994449E-3</v>
      </c>
    </row>
    <row r="103" spans="4:57" x14ac:dyDescent="0.3">
      <c r="D103" s="9">
        <v>6.9601730500063574E-2</v>
      </c>
      <c r="E103" s="9">
        <v>-9.8570124733800002E-3</v>
      </c>
      <c r="F103" s="9">
        <v>3.5633908477119114E-2</v>
      </c>
      <c r="G103" s="9">
        <v>0.1636836027713624</v>
      </c>
      <c r="H103" s="21" cm="1">
        <f t="array" ref="H103">MMULT($D103:$G103,H$87:H$90)</f>
        <v>6.4765557318791273E-2</v>
      </c>
      <c r="I103" s="11" cm="1">
        <f t="array" ref="I103">MMULT($D103:$G103,I$87:I$90)</f>
        <v>5.5407939196617288E-2</v>
      </c>
      <c r="J103" s="11" cm="1">
        <f t="array" ref="J103">MMULT($D103:$G103,J$87:J$90)</f>
        <v>2.5541785857332036E-2</v>
      </c>
      <c r="K103" s="11" cm="1">
        <f t="array" ref="K103">MMULT($D103:$G103,K$87:K$90)</f>
        <v>8.2212289260010118E-2</v>
      </c>
      <c r="L103" s="11" cm="1">
        <f t="array" ref="L103">MMULT($D103:$G103,L$87:L$90)</f>
        <v>6.0032798459446896E-2</v>
      </c>
      <c r="M103" s="11" cm="1">
        <f t="array" ref="M103">MMULT($D103:$G103,M$87:M$90)</f>
        <v>8.3296291141786175E-2</v>
      </c>
      <c r="N103" s="11" cm="1">
        <f t="array" ref="N103">MMULT($D103:$G103,N$87:N$90)</f>
        <v>7.636261066887548E-2</v>
      </c>
      <c r="O103" s="11" cm="1">
        <f t="array" ref="O103">MMULT($D103:$G103,O$87:O$90)</f>
        <v>4.6924600755453773E-2</v>
      </c>
      <c r="P103" s="11" cm="1">
        <f t="array" ref="P103">MMULT($D103:$G103,P$87:P$90)</f>
        <v>5.3860086813384674E-2</v>
      </c>
      <c r="Q103" s="11" cm="1">
        <f t="array" ref="Q103">MMULT($D103:$G103,Q$87:Q$90)</f>
        <v>3.4666728736300195E-2</v>
      </c>
      <c r="R103" s="11" cm="1">
        <f t="array" ref="R103">MMULT($D103:$G103,R$87:R$90)</f>
        <v>7.5089037858735996E-2</v>
      </c>
      <c r="S103" s="11" cm="1">
        <f t="array" ref="S103">MMULT($D103:$G103,S$87:S$90)</f>
        <v>0.11820431970508087</v>
      </c>
      <c r="T103" s="11" cm="1">
        <f t="array" ref="T103">MMULT($D103:$G103,T$87:T$90)</f>
        <v>4.3924706906647196E-2</v>
      </c>
      <c r="U103" s="11" cm="1">
        <f t="array" ref="U103">MMULT($D103:$G103,U$87:U$90)</f>
        <v>4.6740879395005222E-2</v>
      </c>
      <c r="V103" s="11" cm="1">
        <f t="array" ref="V103">MMULT($D103:$G103,V$87:V$90)</f>
        <v>7.6626582074611885E-2</v>
      </c>
      <c r="W103" s="11" cm="1">
        <f t="array" ref="W103">MMULT($D103:$G103,W$87:W$90)</f>
        <v>2.8257185876440456E-2</v>
      </c>
      <c r="X103" s="11" cm="1">
        <f t="array" ref="X103">MMULT($D103:$G103,X$87:X$90)</f>
        <v>4.382116014075834E-2</v>
      </c>
      <c r="Y103" s="11" cm="1">
        <f t="array" ref="Y103">MMULT($D103:$G103,Y$87:Y$90)</f>
        <v>3.6786289260868216E-2</v>
      </c>
      <c r="Z103" s="11" cm="1">
        <f t="array" ref="Z103">MMULT($D103:$G103,Z$87:Z$90)</f>
        <v>7.3137681508321284E-2</v>
      </c>
      <c r="AA103" s="11" cm="1">
        <f t="array" ref="AA103">MMULT($D103:$G103,AA$87:AA$90)</f>
        <v>0.10535314538820734</v>
      </c>
      <c r="AB103" s="11" cm="1">
        <f t="array" ref="AB103">MMULT($D103:$G103,AB$87:AB$90)</f>
        <v>9.3129205017563138E-2</v>
      </c>
      <c r="AC103" s="11" cm="1">
        <f t="array" ref="AC103">MMULT($D103:$G103,AC$87:AC$90)</f>
        <v>7.5254394984042336E-2</v>
      </c>
      <c r="AD103" s="11" cm="1">
        <f t="array" ref="AD103">MMULT($D103:$G103,AD$87:AD$90)</f>
        <v>0.11938684170520274</v>
      </c>
      <c r="AE103" s="11" cm="1">
        <f t="array" ref="AE103">MMULT($D103:$G103,AE$87:AE$90)</f>
        <v>7.9801057772007397E-2</v>
      </c>
      <c r="AF103" s="11" cm="1">
        <f t="array" ref="AF103">MMULT($D103:$G103,AF$87:AF$90)</f>
        <v>7.354818831009019E-2</v>
      </c>
      <c r="AG103" s="11" cm="1">
        <f t="array" ref="AG103">MMULT($D103:$G103,AG$87:AG$90)</f>
        <v>7.8749006619706824E-2</v>
      </c>
      <c r="AH103" s="11" cm="1">
        <f t="array" ref="AH103">MMULT($D103:$G103,AH$87:AH$90)</f>
        <v>4.8928069011473535E-2</v>
      </c>
      <c r="AI103" s="11" cm="1">
        <f t="array" ref="AI103">MMULT($D103:$G103,AI$87:AI$90)</f>
        <v>6.5319843974948166E-2</v>
      </c>
      <c r="AJ103" s="11" cm="1">
        <f t="array" ref="AJ103">MMULT($D103:$G103,AJ$87:AJ$90)</f>
        <v>5.1321237147541228E-2</v>
      </c>
      <c r="AK103" s="11" cm="1">
        <f t="array" ref="AK103">MMULT($D103:$G103,AK$87:AK$90)</f>
        <v>6.6192013995889726E-2</v>
      </c>
      <c r="AL103" s="11" cm="1">
        <f t="array" ref="AL103">MMULT($D103:$G103,AL$87:AL$90)</f>
        <v>5.8621479186225983E-2</v>
      </c>
      <c r="AM103" s="11" cm="1">
        <f t="array" ref="AM103">MMULT($D103:$G103,AM$87:AM$90)</f>
        <v>8.3706374365043398E-2</v>
      </c>
      <c r="AN103" s="11" cm="1">
        <f t="array" ref="AN103">MMULT($D103:$G103,AN$87:AN$90)</f>
        <v>8.7393122546567864E-2</v>
      </c>
      <c r="AO103" s="11" cm="1">
        <f t="array" ref="AO103">MMULT($D103:$G103,AO$87:AO$90)</f>
        <v>8.9766075956141542E-2</v>
      </c>
      <c r="AP103" s="11" cm="1">
        <f t="array" ref="AP103">MMULT($D103:$G103,AP$87:AP$90)</f>
        <v>4.0993800767131008E-2</v>
      </c>
      <c r="AQ103" s="11" cm="1">
        <f t="array" ref="AQ103">MMULT($D103:$G103,AQ$87:AQ$90)</f>
        <v>9.0420118072846348E-2</v>
      </c>
      <c r="AR103" s="11" cm="1">
        <f t="array" ref="AR103">MMULT($D103:$G103,AR$87:AR$90)</f>
        <v>4.3857791119529116E-2</v>
      </c>
      <c r="AS103" s="11" cm="1">
        <f t="array" ref="AS103">MMULT($D103:$G103,AS$87:AS$90)</f>
        <v>0.10174715541144155</v>
      </c>
      <c r="AT103" s="11" cm="1">
        <f t="array" ref="AT103">MMULT($D103:$G103,AT$87:AT$90)</f>
        <v>7.1057882743121803E-2</v>
      </c>
      <c r="AU103" s="11" cm="1">
        <f t="array" ref="AU103">MMULT($D103:$G103,AU$87:AU$90)</f>
        <v>5.7570842240210793E-2</v>
      </c>
      <c r="AV103" s="11" cm="1">
        <f t="array" ref="AV103">MMULT($D103:$G103,AV$87:AV$90)</f>
        <v>6.8521330730254251E-2</v>
      </c>
      <c r="AW103" s="11" cm="1">
        <f t="array" ref="AW103">MMULT($D103:$G103,AW$87:AW$90)</f>
        <v>1.0326024636563565E-2</v>
      </c>
      <c r="AX103" s="11" cm="1">
        <f t="array" ref="AX103">MMULT($D103:$G103,AX$87:AX$90)</f>
        <v>8.2279825590741817E-2</v>
      </c>
      <c r="AY103" s="11" cm="1">
        <f t="array" ref="AY103">MMULT($D103:$G103,AY$87:AY$90)</f>
        <v>5.4563100759661011E-2</v>
      </c>
      <c r="AZ103" s="11" cm="1">
        <f t="array" ref="AZ103">MMULT($D103:$G103,AZ$87:AZ$90)</f>
        <v>7.5444752557762437E-2</v>
      </c>
      <c r="BA103" s="11" cm="1">
        <f t="array" ref="BA103">MMULT($D103:$G103,BA$87:BA$90)</f>
        <v>0.1099109808850007</v>
      </c>
      <c r="BB103" s="11" cm="1">
        <f t="array" ref="BB103">MMULT($D103:$G103,BB$87:BB$90)</f>
        <v>2.2112677536121783E-2</v>
      </c>
      <c r="BC103" s="11" cm="1">
        <f t="array" ref="BC103">MMULT($D103:$G103,BC$87:BC$90)</f>
        <v>0.11282852965400528</v>
      </c>
      <c r="BD103" s="11" cm="1">
        <f t="array" ref="BD103">MMULT($D103:$G103,BD$87:BD$90)</f>
        <v>6.0057389076764126E-2</v>
      </c>
      <c r="BE103" s="11" cm="1">
        <f t="array" ref="BE103">MMULT($D103:$G103,BE$87:BE$90)</f>
        <v>8.6526404163201898E-2</v>
      </c>
    </row>
    <row r="104" spans="4:57" x14ac:dyDescent="0.3">
      <c r="D104" s="9">
        <v>-9.9135538107700816E-3</v>
      </c>
      <c r="E104" s="9">
        <v>4.0066367602777708E-2</v>
      </c>
      <c r="F104" s="9">
        <v>7.6783773994929305E-2</v>
      </c>
      <c r="G104" s="9">
        <v>3.8352766063011634E-2</v>
      </c>
      <c r="H104" s="21" cm="1">
        <f t="array" ref="H104">MMULT($D104:$G104,H$87:H$90)</f>
        <v>3.6322338462487141E-2</v>
      </c>
      <c r="I104" s="11" cm="1">
        <f t="array" ref="I104">MMULT($D104:$G104,I$87:I$90)</f>
        <v>4.2683419610402187E-2</v>
      </c>
      <c r="J104" s="11" cm="1">
        <f t="array" ref="J104">MMULT($D104:$G104,J$87:J$90)</f>
        <v>4.2044479435943957E-2</v>
      </c>
      <c r="K104" s="11" cm="1">
        <f t="array" ref="K104">MMULT($D104:$G104,K$87:K$90)</f>
        <v>4.3232389063060137E-2</v>
      </c>
      <c r="L104" s="11" cm="1">
        <f t="array" ref="L104">MMULT($D104:$G104,L$87:L$90)</f>
        <v>1.6849286613873481E-2</v>
      </c>
      <c r="M104" s="11" cm="1">
        <f t="array" ref="M104">MMULT($D104:$G104,M$87:M$90)</f>
        <v>1.3845526599828711E-2</v>
      </c>
      <c r="N104" s="11" cm="1">
        <f t="array" ref="N104">MMULT($D104:$G104,N$87:N$90)</f>
        <v>2.9607493675830543E-2</v>
      </c>
      <c r="O104" s="11" cm="1">
        <f t="array" ref="O104">MMULT($D104:$G104,O$87:O$90)</f>
        <v>5.911311795436195E-2</v>
      </c>
      <c r="P104" s="11" cm="1">
        <f t="array" ref="P104">MMULT($D104:$G104,P$87:P$90)</f>
        <v>3.4524193723259697E-2</v>
      </c>
      <c r="Q104" s="11" cm="1">
        <f t="array" ref="Q104">MMULT($D104:$G104,Q$87:Q$90)</f>
        <v>4.3923794006492531E-2</v>
      </c>
      <c r="R104" s="11" cm="1">
        <f t="array" ref="R104">MMULT($D104:$G104,R$87:R$90)</f>
        <v>1.8207575474857879E-2</v>
      </c>
      <c r="S104" s="11" cm="1">
        <f t="array" ref="S104">MMULT($D104:$G104,S$87:S$90)</f>
        <v>3.7326797584260302E-2</v>
      </c>
      <c r="T104" s="11" cm="1">
        <f t="array" ref="T104">MMULT($D104:$G104,T$87:T$90)</f>
        <v>3.4514230233701808E-2</v>
      </c>
      <c r="U104" s="11" cm="1">
        <f t="array" ref="U104">MMULT($D104:$G104,U$87:U$90)</f>
        <v>1.4002698984613753E-2</v>
      </c>
      <c r="V104" s="11" cm="1">
        <f t="array" ref="V104">MMULT($D104:$G104,V$87:V$90)</f>
        <v>3.7130699367635578E-2</v>
      </c>
      <c r="W104" s="11" cm="1">
        <f t="array" ref="W104">MMULT($D104:$G104,W$87:W$90)</f>
        <v>3.9624941676720697E-2</v>
      </c>
      <c r="X104" s="11" cm="1">
        <f t="array" ref="X104">MMULT($D104:$G104,X$87:X$90)</f>
        <v>5.5436765007495593E-2</v>
      </c>
      <c r="Y104" s="11" cm="1">
        <f t="array" ref="Y104">MMULT($D104:$G104,Y$87:Y$90)</f>
        <v>4.5478140571198332E-2</v>
      </c>
      <c r="Z104" s="11" cm="1">
        <f t="array" ref="Z104">MMULT($D104:$G104,Z$87:Z$90)</f>
        <v>1.77750908388189E-2</v>
      </c>
      <c r="AA104" s="11" cm="1">
        <f t="array" ref="AA104">MMULT($D104:$G104,AA$87:AA$90)</f>
        <v>2.8085747874671298E-2</v>
      </c>
      <c r="AB104" s="11" cm="1">
        <f t="array" ref="AB104">MMULT($D104:$G104,AB$87:AB$90)</f>
        <v>4.0918228174145574E-2</v>
      </c>
      <c r="AC104" s="11" cm="1">
        <f t="array" ref="AC104">MMULT($D104:$G104,AC$87:AC$90)</f>
        <v>4.9758072603336298E-2</v>
      </c>
      <c r="AD104" s="11" cm="1">
        <f t="array" ref="AD104">MMULT($D104:$G104,AD$87:AD$90)</f>
        <v>2.7080635135567247E-2</v>
      </c>
      <c r="AE104" s="11" cm="1">
        <f t="array" ref="AE104">MMULT($D104:$G104,AE$87:AE$90)</f>
        <v>2.4934652371899069E-2</v>
      </c>
      <c r="AF104" s="11" cm="1">
        <f t="array" ref="AF104">MMULT($D104:$G104,AF$87:AF$90)</f>
        <v>5.661834368473926E-2</v>
      </c>
      <c r="AG104" s="11" cm="1">
        <f t="array" ref="AG104">MMULT($D104:$G104,AG$87:AG$90)</f>
        <v>1.0881097166234937E-2</v>
      </c>
      <c r="AH104" s="11" cm="1">
        <f t="array" ref="AH104">MMULT($D104:$G104,AH$87:AH$90)</f>
        <v>2.0868263122738352E-2</v>
      </c>
      <c r="AI104" s="11" cm="1">
        <f t="array" ref="AI104">MMULT($D104:$G104,AI$87:AI$90)</f>
        <v>7.6446845740101351E-3</v>
      </c>
      <c r="AJ104" s="11" cm="1">
        <f t="array" ref="AJ104">MMULT($D104:$G104,AJ$87:AJ$90)</f>
        <v>4.3517797445922581E-2</v>
      </c>
      <c r="AK104" s="11" cm="1">
        <f t="array" ref="AK104">MMULT($D104:$G104,AK$87:AK$90)</f>
        <v>1.8159552216747865E-2</v>
      </c>
      <c r="AL104" s="11" cm="1">
        <f t="array" ref="AL104">MMULT($D104:$G104,AL$87:AL$90)</f>
        <v>8.2845511295025331E-3</v>
      </c>
      <c r="AM104" s="11" cm="1">
        <f t="array" ref="AM104">MMULT($D104:$G104,AM$87:AM$90)</f>
        <v>4.4884566647791661E-2</v>
      </c>
      <c r="AN104" s="11" cm="1">
        <f t="array" ref="AN104">MMULT($D104:$G104,AN$87:AN$90)</f>
        <v>4.0894554831092812E-2</v>
      </c>
      <c r="AO104" s="11" cm="1">
        <f t="array" ref="AO104">MMULT($D104:$G104,AO$87:AO$90)</f>
        <v>3.451018697147161E-2</v>
      </c>
      <c r="AP104" s="11" cm="1">
        <f t="array" ref="AP104">MMULT($D104:$G104,AP$87:AP$90)</f>
        <v>5.3224984088892577E-2</v>
      </c>
      <c r="AQ104" s="11" cm="1">
        <f t="array" ref="AQ104">MMULT($D104:$G104,AQ$87:AQ$90)</f>
        <v>3.845207432086109E-2</v>
      </c>
      <c r="AR104" s="11" cm="1">
        <f t="array" ref="AR104">MMULT($D104:$G104,AR$87:AR$90)</f>
        <v>5.0761641473171921E-2</v>
      </c>
      <c r="AS104" s="11" cm="1">
        <f t="array" ref="AS104">MMULT($D104:$G104,AS$87:AS$90)</f>
        <v>1.7746593279386835E-2</v>
      </c>
      <c r="AT104" s="11" cm="1">
        <f t="array" ref="AT104">MMULT($D104:$G104,AT$87:AT$90)</f>
        <v>4.8237973225638719E-2</v>
      </c>
      <c r="AU104" s="11" cm="1">
        <f t="array" ref="AU104">MMULT($D104:$G104,AU$87:AU$90)</f>
        <v>3.4981309843371777E-2</v>
      </c>
      <c r="AV104" s="11" cm="1">
        <f t="array" ref="AV104">MMULT($D104:$G104,AV$87:AV$90)</f>
        <v>2.8459807245179713E-2</v>
      </c>
      <c r="AW104" s="11" cm="1">
        <f t="array" ref="AW104">MMULT($D104:$G104,AW$87:AW$90)</f>
        <v>4.7792866402918861E-2</v>
      </c>
      <c r="AX104" s="11" cm="1">
        <f t="array" ref="AX104">MMULT($D104:$G104,AX$87:AX$90)</f>
        <v>3.6159547255043833E-2</v>
      </c>
      <c r="AY104" s="11" cm="1">
        <f t="array" ref="AY104">MMULT($D104:$G104,AY$87:AY$90)</f>
        <v>3.5540222580891324E-2</v>
      </c>
      <c r="AZ104" s="11" cm="1">
        <f t="array" ref="AZ104">MMULT($D104:$G104,AZ$87:AZ$90)</f>
        <v>1.6867727622864353E-2</v>
      </c>
      <c r="BA104" s="11" cm="1">
        <f t="array" ref="BA104">MMULT($D104:$G104,BA$87:BA$90)</f>
        <v>3.2778895111747162E-2</v>
      </c>
      <c r="BB104" s="11" cm="1">
        <f t="array" ref="BB104">MMULT($D104:$G104,BB$87:BB$90)</f>
        <v>5.307839615014083E-2</v>
      </c>
      <c r="BC104" s="11" cm="1">
        <f t="array" ref="BC104">MMULT($D104:$G104,BC$87:BC$90)</f>
        <v>3.3152184659039463E-2</v>
      </c>
      <c r="BD104" s="11" cm="1">
        <f t="array" ref="BD104">MMULT($D104:$G104,BD$87:BD$90)</f>
        <v>6.3781795813986408E-2</v>
      </c>
      <c r="BE104" s="11" cm="1">
        <f t="array" ref="BE104">MMULT($D104:$G104,BE$87:BE$90)</f>
        <v>4.2701171919500139E-2</v>
      </c>
    </row>
    <row r="105" spans="4:57" x14ac:dyDescent="0.3">
      <c r="D105" s="9">
        <v>8.4988785645626175E-2</v>
      </c>
      <c r="E105" s="9">
        <v>-2.6646971935007313E-2</v>
      </c>
      <c r="F105" s="9">
        <v>-7.1476622939791512E-2</v>
      </c>
      <c r="G105" s="9">
        <v>-4.9264143730886834E-2</v>
      </c>
      <c r="H105" s="21" cm="1">
        <f t="array" ref="H105">MMULT($D105:$G105,H$87:H$90)</f>
        <v>-1.5599738240014871E-2</v>
      </c>
      <c r="I105" s="11" cm="1">
        <f t="array" ref="I105">MMULT($D105:$G105,I$87:I$90)</f>
        <v>-3.0591419923703473E-2</v>
      </c>
      <c r="J105" s="11" cm="1">
        <f t="array" ref="J105">MMULT($D105:$G105,J$87:J$90)</f>
        <v>-2.5178598650397181E-2</v>
      </c>
      <c r="K105" s="11" cm="1">
        <f t="array" ref="K105">MMULT($D105:$G105,K$87:K$90)</f>
        <v>-2.8630607411099671E-2</v>
      </c>
      <c r="L105" s="11" cm="1">
        <f t="array" ref="L105">MMULT($D105:$G105,L$87:L$90)</f>
        <v>2.5160234029140721E-2</v>
      </c>
      <c r="M105" s="11" cm="1">
        <f t="array" ref="M105">MMULT($D105:$G105,M$87:M$90)</f>
        <v>2.4850908482299403E-2</v>
      </c>
      <c r="N105" s="11" cm="1">
        <f t="array" ref="N105">MMULT($D105:$G105,N$87:N$90)</f>
        <v>-9.4724281279787576E-3</v>
      </c>
      <c r="O105" s="11" cm="1">
        <f t="array" ref="O105">MMULT($D105:$G105,O$87:O$90)</f>
        <v>-5.4376595185241211E-2</v>
      </c>
      <c r="P105" s="11" cm="1">
        <f t="array" ref="P105">MMULT($D105:$G105,P$87:P$90)</f>
        <v>5.8350548625861302E-5</v>
      </c>
      <c r="Q105" s="11" cm="1">
        <f t="array" ref="Q105">MMULT($D105:$G105,Q$87:Q$90)</f>
        <v>-2.5196993112686375E-2</v>
      </c>
      <c r="R105" s="11" cm="1">
        <f t="array" ref="R105">MMULT($D105:$G105,R$87:R$90)</f>
        <v>1.8985276916577483E-2</v>
      </c>
      <c r="S105" s="11" cm="1">
        <f t="array" ref="S105">MMULT($D105:$G105,S$87:S$90)</f>
        <v>-3.1438603852545932E-2</v>
      </c>
      <c r="T105" s="11" cm="1">
        <f t="array" ref="T105">MMULT($D105:$G105,T$87:T$90)</f>
        <v>-8.4542541664700717E-3</v>
      </c>
      <c r="U105" s="11" cm="1">
        <f t="array" ref="U105">MMULT($D105:$G105,U$87:U$90)</f>
        <v>3.5564506476971014E-2</v>
      </c>
      <c r="V105" s="11" cm="1">
        <f t="array" ref="V105">MMULT($D105:$G105,V$87:V$90)</f>
        <v>-2.3171442703060346E-2</v>
      </c>
      <c r="W105" s="11" cm="1">
        <f t="array" ref="W105">MMULT($D105:$G105,W$87:W$90)</f>
        <v>-1.4367133674658429E-2</v>
      </c>
      <c r="X105" s="11" cm="1">
        <f t="array" ref="X105">MMULT($D105:$G105,X$87:X$90)</f>
        <v>-3.9848852762906707E-2</v>
      </c>
      <c r="Y105" s="11" cm="1">
        <f t="array" ref="Y105">MMULT($D105:$G105,Y$87:Y$90)</f>
        <v>-3.51098292986479E-2</v>
      </c>
      <c r="Z105" s="11" cm="1">
        <f t="array" ref="Z105">MMULT($D105:$G105,Z$87:Z$90)</f>
        <v>2.5277723347404399E-2</v>
      </c>
      <c r="AA105" s="11" cm="1">
        <f t="array" ref="AA105">MMULT($D105:$G105,AA$87:AA$90)</f>
        <v>-1.2151827685189723E-2</v>
      </c>
      <c r="AB105" s="11" cm="1">
        <f t="array" ref="AB105">MMULT($D105:$G105,AB$87:AB$90)</f>
        <v>-3.4919760976996339E-2</v>
      </c>
      <c r="AC105" s="11" cm="1">
        <f t="array" ref="AC105">MMULT($D105:$G105,AC$87:AC$90)</f>
        <v>-3.9946586616698754E-2</v>
      </c>
      <c r="AD105" s="11" cm="1">
        <f t="array" ref="AD105">MMULT($D105:$G105,AD$87:AD$90)</f>
        <v>-1.2940601952127054E-2</v>
      </c>
      <c r="AE105" s="11" cm="1">
        <f t="array" ref="AE105">MMULT($D105:$G105,AE$87:AE$90)</f>
        <v>4.7436476833694757E-3</v>
      </c>
      <c r="AF105" s="11" cm="1">
        <f t="array" ref="AF105">MMULT($D105:$G105,AF$87:AF$90)</f>
        <v>-4.8214256511705578E-2</v>
      </c>
      <c r="AG105" s="11" cm="1">
        <f t="array" ref="AG105">MMULT($D105:$G105,AG$87:AG$90)</f>
        <v>3.4274585248923545E-2</v>
      </c>
      <c r="AH105" s="11" cm="1">
        <f t="array" ref="AH105">MMULT($D105:$G105,AH$87:AH$90)</f>
        <v>2.2506610887426524E-2</v>
      </c>
      <c r="AI105" s="11" cm="1">
        <f t="array" ref="AI105">MMULT($D105:$G105,AI$87:AI$90)</f>
        <v>4.5608085749652777E-2</v>
      </c>
      <c r="AJ105" s="11" cm="1">
        <f t="array" ref="AJ105">MMULT($D105:$G105,AJ$87:AJ$90)</f>
        <v>-2.8920703189772821E-2</v>
      </c>
      <c r="AK105" s="11" cm="1">
        <f t="array" ref="AK105">MMULT($D105:$G105,AK$87:AK$90)</f>
        <v>2.2465022136508493E-2</v>
      </c>
      <c r="AL105" s="11" cm="1">
        <f t="array" ref="AL105">MMULT($D105:$G105,AL$87:AL$90)</f>
        <v>4.6550588720383118E-2</v>
      </c>
      <c r="AM105" s="11" cm="1">
        <f t="array" ref="AM105">MMULT($D105:$G105,AM$87:AM$90)</f>
        <v>-3.0120042213932746E-2</v>
      </c>
      <c r="AN105" s="11" cm="1">
        <f t="array" ref="AN105">MMULT($D105:$G105,AN$87:AN$90)</f>
        <v>-3.1017215292708841E-2</v>
      </c>
      <c r="AO105" s="11" cm="1">
        <f t="array" ref="AO105">MMULT($D105:$G105,AO$87:AO$90)</f>
        <v>-2.4640079171968112E-2</v>
      </c>
      <c r="AP105" s="11" cm="1">
        <f t="array" ref="AP105">MMULT($D105:$G105,AP$87:AP$90)</f>
        <v>-3.504935022292837E-2</v>
      </c>
      <c r="AQ105" s="11" cm="1">
        <f t="array" ref="AQ105">MMULT($D105:$G105,AQ$87:AQ$90)</f>
        <v>-2.0752898629488224E-2</v>
      </c>
      <c r="AR105" s="11" cm="1">
        <f t="array" ref="AR105">MMULT($D105:$G105,AR$87:AR$90)</f>
        <v>-2.7526987974318705E-2</v>
      </c>
      <c r="AS105" s="11" cm="1">
        <f t="array" ref="AS105">MMULT($D105:$G105,AS$87:AS$90)</f>
        <v>1.3605332684963833E-2</v>
      </c>
      <c r="AT105" s="11" cm="1">
        <f t="array" ref="AT105">MMULT($D105:$G105,AT$87:AT$90)</f>
        <v>-4.3541622920716193E-2</v>
      </c>
      <c r="AU105" s="11" cm="1">
        <f t="array" ref="AU105">MMULT($D105:$G105,AU$87:AU$90)</f>
        <v>-2.1257078938585267E-2</v>
      </c>
      <c r="AV105" s="11" cm="1">
        <f t="array" ref="AV105">MMULT($D105:$G105,AV$87:AV$90)</f>
        <v>-8.5812326038871185E-3</v>
      </c>
      <c r="AW105" s="11" cm="1">
        <f t="array" ref="AW105">MMULT($D105:$G105,AW$87:AW$90)</f>
        <v>-3.5744778943923923E-2</v>
      </c>
      <c r="AX105" s="11" cm="1">
        <f t="array" ref="AX105">MMULT($D105:$G105,AX$87:AX$90)</f>
        <v>-3.0973221149671219E-2</v>
      </c>
      <c r="AY105" s="11" cm="1">
        <f t="array" ref="AY105">MMULT($D105:$G105,AY$87:AY$90)</f>
        <v>-2.3034465167962676E-2</v>
      </c>
      <c r="AZ105" s="11" cm="1">
        <f t="array" ref="AZ105">MMULT($D105:$G105,AZ$87:AZ$90)</f>
        <v>2.4130488194577516E-2</v>
      </c>
      <c r="BA105" s="11" cm="1">
        <f t="array" ref="BA105">MMULT($D105:$G105,BA$87:BA$90)</f>
        <v>-1.7679340696668655E-2</v>
      </c>
      <c r="BB105" s="11" cm="1">
        <f t="array" ref="BB105">MMULT($D105:$G105,BB$87:BB$90)</f>
        <v>-4.0211338856671934E-2</v>
      </c>
      <c r="BC105" s="11" cm="1">
        <f t="array" ref="BC105">MMULT($D105:$G105,BC$87:BC$90)</f>
        <v>-2.1720455274489806E-2</v>
      </c>
      <c r="BD105" s="11" cm="1">
        <f t="array" ref="BD105">MMULT($D105:$G105,BD$87:BD$90)</f>
        <v>-5.9799747046105071E-2</v>
      </c>
      <c r="BE105" s="11" cm="1">
        <f t="array" ref="BE105">MMULT($D105:$G105,BE$87:BE$90)</f>
        <v>-3.3662348918634219E-2</v>
      </c>
    </row>
    <row r="106" spans="4:57" x14ac:dyDescent="0.3">
      <c r="D106" s="9">
        <v>5.1716500553710132E-2</v>
      </c>
      <c r="E106" s="9">
        <v>4.5283476994051108E-2</v>
      </c>
      <c r="F106" s="9">
        <v>2.5297349513976997E-2</v>
      </c>
      <c r="G106" s="9">
        <v>6.7346836206463312E-2</v>
      </c>
      <c r="H106" s="21" cm="1">
        <f t="array" ref="H106">MMULT($D106:$G106,H$87:H$90)</f>
        <v>4.7411040817050387E-2</v>
      </c>
      <c r="I106" s="11" cm="1">
        <f t="array" ref="I106">MMULT($D106:$G106,I$87:I$90)</f>
        <v>4.7046065195540596E-2</v>
      </c>
      <c r="J106" s="11" cm="1">
        <f t="array" ref="J106">MMULT($D106:$G106,J$87:J$90)</f>
        <v>4.3605496001225243E-2</v>
      </c>
      <c r="K106" s="11" cm="1">
        <f t="array" ref="K106">MMULT($D106:$G106,K$87:K$90)</f>
        <v>4.6510668589973991E-2</v>
      </c>
      <c r="L106" s="11" cm="1">
        <f t="array" ref="L106">MMULT($D106:$G106,L$87:L$90)</f>
        <v>4.9780188678147028E-2</v>
      </c>
      <c r="M106" s="11" cm="1">
        <f t="array" ref="M106">MMULT($D106:$G106,M$87:M$90)</f>
        <v>5.4758192101850019E-2</v>
      </c>
      <c r="N106" s="11" cm="1">
        <f t="array" ref="N106">MMULT($D106:$G106,N$87:N$90)</f>
        <v>5.3070430158342348E-2</v>
      </c>
      <c r="O106" s="11" cm="1">
        <f t="array" ref="O106">MMULT($D106:$G106,O$87:O$90)</f>
        <v>3.8804152070157569E-2</v>
      </c>
      <c r="P106" s="11" cm="1">
        <f t="array" ref="P106">MMULT($D106:$G106,P$87:P$90)</f>
        <v>4.0785857859431229E-2</v>
      </c>
      <c r="Q106" s="11" cm="1">
        <f t="array" ref="Q106">MMULT($D106:$G106,Q$87:Q$90)</f>
        <v>4.1668093340098765E-2</v>
      </c>
      <c r="R106" s="11" cm="1">
        <f t="array" ref="R106">MMULT($D106:$G106,R$87:R$90)</f>
        <v>5.2061770704025165E-2</v>
      </c>
      <c r="S106" s="11" cm="1">
        <f t="array" ref="S106">MMULT($D106:$G106,S$87:S$90)</f>
        <v>5.7038873335036697E-2</v>
      </c>
      <c r="T106" s="11" cm="1">
        <f t="array" ref="T106">MMULT($D106:$G106,T$87:T$90)</f>
        <v>4.4913754846680948E-2</v>
      </c>
      <c r="U106" s="11" cm="1">
        <f t="array" ref="U106">MMULT($D106:$G106,U$87:U$90)</f>
        <v>4.7178161823083105E-2</v>
      </c>
      <c r="V106" s="11" cm="1">
        <f t="array" ref="V106">MMULT($D106:$G106,V$87:V$90)</f>
        <v>5.0987322906596279E-2</v>
      </c>
      <c r="W106" s="11" cm="1">
        <f t="array" ref="W106">MMULT($D106:$G106,W$87:W$90)</f>
        <v>4.0968591793189055E-2</v>
      </c>
      <c r="X106" s="11" cm="1">
        <f t="array" ref="X106">MMULT($D106:$G106,X$87:X$90)</f>
        <v>3.5490804801770824E-2</v>
      </c>
      <c r="Y106" s="11" cm="1">
        <f t="array" ref="Y106">MMULT($D106:$G106,Y$87:Y$90)</f>
        <v>4.5125753763616473E-2</v>
      </c>
      <c r="Z106" s="11" cm="1">
        <f t="array" ref="Z106">MMULT($D106:$G106,Z$87:Z$90)</f>
        <v>4.9144643450303616E-2</v>
      </c>
      <c r="AA106" s="11" cm="1">
        <f t="array" ref="AA106">MMULT($D106:$G106,AA$87:AA$90)</f>
        <v>5.7716915182858305E-2</v>
      </c>
      <c r="AB106" s="11" cm="1">
        <f t="array" ref="AB106">MMULT($D106:$G106,AB$87:AB$90)</f>
        <v>5.3273628253647801E-2</v>
      </c>
      <c r="AC106" s="11" cm="1">
        <f t="array" ref="AC106">MMULT($D106:$G106,AC$87:AC$90)</f>
        <v>4.4077332423988716E-2</v>
      </c>
      <c r="AD106" s="11" cm="1">
        <f t="array" ref="AD106">MMULT($D106:$G106,AD$87:AD$90)</f>
        <v>6.0030536457149765E-2</v>
      </c>
      <c r="AE106" s="11" cm="1">
        <f t="array" ref="AE106">MMULT($D106:$G106,AE$87:AE$90)</f>
        <v>5.1467738191418984E-2</v>
      </c>
      <c r="AF106" s="11" cm="1">
        <f t="array" ref="AF106">MMULT($D106:$G106,AF$87:AF$90)</f>
        <v>3.9826726508118443E-2</v>
      </c>
      <c r="AG106" s="11" cm="1">
        <f t="array" ref="AG106">MMULT($D106:$G106,AG$87:AG$90)</f>
        <v>5.3222186630946203E-2</v>
      </c>
      <c r="AH106" s="11" cm="1">
        <f t="array" ref="AH106">MMULT($D106:$G106,AH$87:AH$90)</f>
        <v>4.5662711029388008E-2</v>
      </c>
      <c r="AI106" s="11" cm="1">
        <f t="array" ref="AI106">MMULT($D106:$G106,AI$87:AI$90)</f>
        <v>5.0604982118012502E-2</v>
      </c>
      <c r="AJ106" s="11" cm="1">
        <f t="array" ref="AJ106">MMULT($D106:$G106,AJ$87:AJ$90)</f>
        <v>4.4920732952426191E-2</v>
      </c>
      <c r="AK106" s="11" cm="1">
        <f t="array" ref="AK106">MMULT($D106:$G106,AK$87:AK$90)</f>
        <v>4.9857723759763814E-2</v>
      </c>
      <c r="AL106" s="11" cm="1">
        <f t="array" ref="AL106">MMULT($D106:$G106,AL$87:AL$90)</f>
        <v>4.8996539474813895E-2</v>
      </c>
      <c r="AM106" s="11" cm="1">
        <f t="array" ref="AM106">MMULT($D106:$G106,AM$87:AM$90)</f>
        <v>4.5303703648328551E-2</v>
      </c>
      <c r="AN106" s="11" cm="1">
        <f t="array" ref="AN106">MMULT($D106:$G106,AN$87:AN$90)</f>
        <v>5.095444423572848E-2</v>
      </c>
      <c r="AO106" s="11" cm="1">
        <f t="array" ref="AO106">MMULT($D106:$G106,AO$87:AO$90)</f>
        <v>5.5651180598617192E-2</v>
      </c>
      <c r="AP106" s="11" cm="1">
        <f t="array" ref="AP106">MMULT($D106:$G106,AP$87:AP$90)</f>
        <v>3.5565999723015163E-2</v>
      </c>
      <c r="AQ106" s="11" cm="1">
        <f t="array" ref="AQ106">MMULT($D106:$G106,AQ$87:AQ$90)</f>
        <v>4.8653509533497764E-2</v>
      </c>
      <c r="AR106" s="11" cm="1">
        <f t="array" ref="AR106">MMULT($D106:$G106,AR$87:AR$90)</f>
        <v>3.4753235198073509E-2</v>
      </c>
      <c r="AS106" s="11" cm="1">
        <f t="array" ref="AS106">MMULT($D106:$G106,AS$87:AS$90)</f>
        <v>5.6720193417799013E-2</v>
      </c>
      <c r="AT106" s="11" cm="1">
        <f t="array" ref="AT106">MMULT($D106:$G106,AT$87:AT$90)</f>
        <v>4.7721870884547588E-2</v>
      </c>
      <c r="AU106" s="11" cm="1">
        <f t="array" ref="AU106">MMULT($D106:$G106,AU$87:AU$90)</f>
        <v>5.1801446870905835E-2</v>
      </c>
      <c r="AV106" s="11" cm="1">
        <f t="array" ref="AV106">MMULT($D106:$G106,AV$87:AV$90)</f>
        <v>5.3680150838823756E-2</v>
      </c>
      <c r="AW106" s="11" cm="1">
        <f t="array" ref="AW106">MMULT($D106:$G106,AW$87:AW$90)</f>
        <v>4.1374386259660292E-2</v>
      </c>
      <c r="AX106" s="11" cm="1">
        <f t="array" ref="AX106">MMULT($D106:$G106,AX$87:AX$90)</f>
        <v>5.6639999431902489E-2</v>
      </c>
      <c r="AY106" s="11" cm="1">
        <f t="array" ref="AY106">MMULT($D106:$G106,AY$87:AY$90)</f>
        <v>5.1917798576001491E-2</v>
      </c>
      <c r="AZ106" s="11" cm="1">
        <f t="array" ref="AZ106">MMULT($D106:$G106,AZ$87:AZ$90)</f>
        <v>5.1001069897597812E-2</v>
      </c>
      <c r="BA106" s="11" cm="1">
        <f t="array" ref="BA106">MMULT($D106:$G106,BA$87:BA$90)</f>
        <v>5.4997356688137503E-2</v>
      </c>
      <c r="BB106" s="11" cm="1">
        <f t="array" ref="BB106">MMULT($D106:$G106,BB$87:BB$90)</f>
        <v>3.7667983991569232E-2</v>
      </c>
      <c r="BC106" s="11" cm="1">
        <f t="array" ref="BC106">MMULT($D106:$G106,BC$87:BC$90)</f>
        <v>5.6825706585104323E-2</v>
      </c>
      <c r="BD106" s="11" cm="1">
        <f t="array" ref="BD106">MMULT($D106:$G106,BD$87:BD$90)</f>
        <v>3.644448997557722E-2</v>
      </c>
      <c r="BE106" s="11" cm="1">
        <f t="array" ref="BE106">MMULT($D106:$G106,BE$87:BE$90)</f>
        <v>5.0067047033896347E-2</v>
      </c>
    </row>
    <row r="107" spans="4:57" x14ac:dyDescent="0.3">
      <c r="D107" s="9">
        <v>5.9562668912990002E-2</v>
      </c>
      <c r="E107" s="9">
        <v>5.4006968641115982E-3</v>
      </c>
      <c r="F107" s="9">
        <v>-7.6551642916022899E-4</v>
      </c>
      <c r="G107" s="9">
        <v>3.8847294815651967E-2</v>
      </c>
      <c r="H107" s="21" cm="1">
        <f t="array" ref="H107">MMULT($D107:$G107,H$87:H$90)</f>
        <v>2.5761286040898335E-2</v>
      </c>
      <c r="I107" s="11" cm="1">
        <f t="array" ref="I107">MMULT($D107:$G107,I$87:I$90)</f>
        <v>1.8827221913114207E-2</v>
      </c>
      <c r="J107" s="11" cm="1">
        <f t="array" ref="J107">MMULT($D107:$G107,J$87:J$90)</f>
        <v>1.3593287175450573E-2</v>
      </c>
      <c r="K107" s="11" cm="1">
        <f t="array" ref="K107">MMULT($D107:$G107,K$87:K$90)</f>
        <v>2.537297199635942E-2</v>
      </c>
      <c r="L107" s="11" cm="1">
        <f t="array" ref="L107">MMULT($D107:$G107,L$87:L$90)</f>
        <v>3.802746168830777E-2</v>
      </c>
      <c r="M107" s="11" cm="1">
        <f t="array" ref="M107">MMULT($D107:$G107,M$87:M$90)</f>
        <v>4.3576703989906616E-2</v>
      </c>
      <c r="N107" s="11" cm="1">
        <f t="array" ref="N107">MMULT($D107:$G107,N$87:N$90)</f>
        <v>3.0846120494662097E-2</v>
      </c>
      <c r="O107" s="11" cm="1">
        <f t="array" ref="O107">MMULT($D107:$G107,O$87:O$90)</f>
        <v>8.5181300090886418E-3</v>
      </c>
      <c r="P107" s="11" cm="1">
        <f t="array" ref="P107">MMULT($D107:$G107,P$87:P$90)</f>
        <v>2.7738541713316779E-2</v>
      </c>
      <c r="Q107" s="11" cm="1">
        <f t="array" ref="Q107">MMULT($D107:$G107,Q$87:Q$90)</f>
        <v>1.5435404465361085E-2</v>
      </c>
      <c r="R107" s="11" cm="1">
        <f t="array" ref="R107">MMULT($D107:$G107,R$87:R$90)</f>
        <v>3.9610479242584123E-2</v>
      </c>
      <c r="S107" s="11" cm="1">
        <f t="array" ref="S107">MMULT($D107:$G107,S$87:S$90)</f>
        <v>3.3477149600877193E-2</v>
      </c>
      <c r="T107" s="11" cm="1">
        <f t="array" ref="T107">MMULT($D107:$G107,T$87:T$90)</f>
        <v>2.3182112877594276E-2</v>
      </c>
      <c r="U107" s="11" cm="1">
        <f t="array" ref="U107">MMULT($D107:$G107,U$87:U$90)</f>
        <v>3.8165714929453497E-2</v>
      </c>
      <c r="V107" s="11" cm="1">
        <f t="array" ref="V107">MMULT($D107:$G107,V$87:V$90)</f>
        <v>2.6306673353537396E-2</v>
      </c>
      <c r="W107" s="11" cm="1">
        <f t="array" ref="W107">MMULT($D107:$G107,W$87:W$90)</f>
        <v>1.7422126408257767E-2</v>
      </c>
      <c r="X107" s="11" cm="1">
        <f t="array" ref="X107">MMULT($D107:$G107,X$87:X$90)</f>
        <v>1.2181835073001105E-2</v>
      </c>
      <c r="Y107" s="11" cm="1">
        <f t="array" ref="Y107">MMULT($D107:$G107,Y$87:Y$90)</f>
        <v>1.3049056897388625E-2</v>
      </c>
      <c r="Z107" s="11" cm="1">
        <f t="array" ref="Z107">MMULT($D107:$G107,Z$87:Z$90)</f>
        <v>4.0922154847357846E-2</v>
      </c>
      <c r="AA107" s="11" cm="1">
        <f t="array" ref="AA107">MMULT($D107:$G107,AA$87:AA$90)</f>
        <v>3.687733155053434E-2</v>
      </c>
      <c r="AB107" s="11" cm="1">
        <f t="array" ref="AB107">MMULT($D107:$G107,AB$87:AB$90)</f>
        <v>2.6421424219213379E-2</v>
      </c>
      <c r="AC107" s="11" cm="1">
        <f t="array" ref="AC107">MMULT($D107:$G107,AC$87:AC$90)</f>
        <v>1.9958563366842846E-2</v>
      </c>
      <c r="AD107" s="11" cm="1">
        <f t="array" ref="AD107">MMULT($D107:$G107,AD$87:AD$90)</f>
        <v>3.9966293737933228E-2</v>
      </c>
      <c r="AE107" s="11" cm="1">
        <f t="array" ref="AE107">MMULT($D107:$G107,AE$87:AE$90)</f>
        <v>3.6027501552193225E-2</v>
      </c>
      <c r="AF107" s="11" cm="1">
        <f t="array" ref="AF107">MMULT($D107:$G107,AF$87:AF$90)</f>
        <v>1.6520779798177166E-2</v>
      </c>
      <c r="AG107" s="11" cm="1">
        <f t="array" ref="AG107">MMULT($D107:$G107,AG$87:AG$90)</f>
        <v>4.5447102510100354E-2</v>
      </c>
      <c r="AH107" s="11" cm="1">
        <f t="array" ref="AH107">MMULT($D107:$G107,AH$87:AH$90)</f>
        <v>3.4313983966153913E-2</v>
      </c>
      <c r="AI107" s="11" cm="1">
        <f t="array" ref="AI107">MMULT($D107:$G107,AI$87:AI$90)</f>
        <v>4.5851923719634681E-2</v>
      </c>
      <c r="AJ107" s="11" cm="1">
        <f t="array" ref="AJ107">MMULT($D107:$G107,AJ$87:AJ$90)</f>
        <v>1.8253504816757443E-2</v>
      </c>
      <c r="AK107" s="11" cm="1">
        <f t="array" ref="AK107">MMULT($D107:$G107,AK$87:AK$90)</f>
        <v>3.8539820018473274E-2</v>
      </c>
      <c r="AL107" s="11" cm="1">
        <f t="array" ref="AL107">MMULT($D107:$G107,AL$87:AL$90)</f>
        <v>4.4511757881785609E-2</v>
      </c>
      <c r="AM107" s="11" cm="1">
        <f t="array" ref="AM107">MMULT($D107:$G107,AM$87:AM$90)</f>
        <v>2.5112940360995512E-2</v>
      </c>
      <c r="AN107" s="11" cm="1">
        <f t="array" ref="AN107">MMULT($D107:$G107,AN$87:AN$90)</f>
        <v>2.6179317002660324E-2</v>
      </c>
      <c r="AO107" s="11" cm="1">
        <f t="array" ref="AO107">MMULT($D107:$G107,AO$87:AO$90)</f>
        <v>2.9200262168541435E-2</v>
      </c>
      <c r="AP107" s="11" cm="1">
        <f t="array" ref="AP107">MMULT($D107:$G107,AP$87:AP$90)</f>
        <v>1.3101631246485688E-2</v>
      </c>
      <c r="AQ107" s="11" cm="1">
        <f t="array" ref="AQ107">MMULT($D107:$G107,AQ$87:AQ$90)</f>
        <v>2.9933470359935488E-2</v>
      </c>
      <c r="AR107" s="11" cm="1">
        <f t="array" ref="AR107">MMULT($D107:$G107,AR$87:AR$90)</f>
        <v>1.607917341527277E-2</v>
      </c>
      <c r="AS107" s="11" cm="1">
        <f t="array" ref="AS107">MMULT($D107:$G107,AS$87:AS$90)</f>
        <v>4.4255991116425614E-2</v>
      </c>
      <c r="AT107" s="11" cm="1">
        <f t="array" ref="AT107">MMULT($D107:$G107,AT$87:AT$90)</f>
        <v>1.8213829381001207E-2</v>
      </c>
      <c r="AU107" s="11" cm="1">
        <f t="array" ref="AU107">MMULT($D107:$G107,AU$87:AU$90)</f>
        <v>2.2757072981845306E-2</v>
      </c>
      <c r="AV107" s="11" cm="1">
        <f t="array" ref="AV107">MMULT($D107:$G107,AV$87:AV$90)</f>
        <v>2.9444687569631034E-2</v>
      </c>
      <c r="AW107" s="11" cm="1">
        <f t="array" ref="AW107">MMULT($D107:$G107,AW$87:AW$90)</f>
        <v>6.6007801523358719E-3</v>
      </c>
      <c r="AX107" s="11" cm="1">
        <f t="array" ref="AX107">MMULT($D107:$G107,AX$87:AX$90)</f>
        <v>2.5592576371593741E-2</v>
      </c>
      <c r="AY107" s="11" cm="1">
        <f t="array" ref="AY107">MMULT($D107:$G107,AY$87:AY$90)</f>
        <v>2.1527522238638602E-2</v>
      </c>
      <c r="AZ107" s="11" cm="1">
        <f t="array" ref="AZ107">MMULT($D107:$G107,AZ$87:AZ$90)</f>
        <v>4.1242522768675335E-2</v>
      </c>
      <c r="BA107" s="11" cm="1">
        <f t="array" ref="BA107">MMULT($D107:$G107,BA$87:BA$90)</f>
        <v>3.5858924289101576E-2</v>
      </c>
      <c r="BB107" s="11" cm="1">
        <f t="array" ref="BB107">MMULT($D107:$G107,BB$87:BB$90)</f>
        <v>7.4390447361678139E-3</v>
      </c>
      <c r="BC107" s="11" cm="1">
        <f t="array" ref="BC107">MMULT($D107:$G107,BC$87:BC$90)</f>
        <v>3.5382751650646055E-2</v>
      </c>
      <c r="BD107" s="11" cm="1">
        <f t="array" ref="BD107">MMULT($D107:$G107,BD$87:BD$90)</f>
        <v>9.4759546431517662E-3</v>
      </c>
      <c r="BE107" s="11" cm="1">
        <f t="array" ref="BE107">MMULT($D107:$G107,BE$87:BE$90)</f>
        <v>2.5052681666299984E-2</v>
      </c>
    </row>
    <row r="108" spans="4:57" x14ac:dyDescent="0.3">
      <c r="D108" s="9">
        <v>-6.6118987677222685E-2</v>
      </c>
      <c r="E108" s="9">
        <v>-6.7174955235949851E-2</v>
      </c>
      <c r="F108" s="9">
        <v>-3.2235252519299928E-2</v>
      </c>
      <c r="G108" s="9">
        <v>0.11213851871997083</v>
      </c>
      <c r="H108" s="21" cm="1">
        <f t="array" ref="H108">MMULT($D108:$G108,H$87:H$90)</f>
        <v>-1.334766917812541E-2</v>
      </c>
      <c r="I108" s="11" cm="1">
        <f t="array" ref="I108">MMULT($D108:$G108,I$87:I$90)</f>
        <v>-1.1772091227714498E-2</v>
      </c>
      <c r="J108" s="11" cm="1">
        <f t="array" ref="J108">MMULT($D108:$G108,J$87:J$90)</f>
        <v>-4.3075838124704155E-2</v>
      </c>
      <c r="K108" s="11" cm="1">
        <f t="array" ref="K108">MMULT($D108:$G108,K$87:K$90)</f>
        <v>6.9824778102473076E-3</v>
      </c>
      <c r="L108" s="11" cm="1">
        <f t="array" ref="L108">MMULT($D108:$G108,L$87:L$90)</f>
        <v>-3.9027838026161082E-2</v>
      </c>
      <c r="M108" s="11" cm="1">
        <f t="array" ref="M108">MMULT($D108:$G108,M$87:M$90)</f>
        <v>-1.3841021054174361E-2</v>
      </c>
      <c r="N108" s="11" cm="1">
        <f t="array" ref="N108">MMULT($D108:$G108,N$87:N$90)</f>
        <v>-2.2743585212710998E-4</v>
      </c>
      <c r="O108" s="11" cm="1">
        <f t="array" ref="O108">MMULT($D108:$G108,O$87:O$90)</f>
        <v>-1.5134731872936711E-2</v>
      </c>
      <c r="P108" s="11" cm="1">
        <f t="array" ref="P108">MMULT($D108:$G108,P$87:P$90)</f>
        <v>-4.0843421363502011E-2</v>
      </c>
      <c r="Q108" s="11" cm="1">
        <f t="array" ref="Q108">MMULT($D108:$G108,Q$87:Q$90)</f>
        <v>-3.8734375066405084E-2</v>
      </c>
      <c r="R108" s="11" cm="1">
        <f t="array" ref="R108">MMULT($D108:$G108,R$87:R$90)</f>
        <v>-2.0333327112068571E-2</v>
      </c>
      <c r="S108" s="11" cm="1">
        <f t="array" ref="S108">MMULT($D108:$G108,S$87:S$90)</f>
        <v>5.1376516665666672E-2</v>
      </c>
      <c r="T108" s="11" cm="1">
        <f t="array" ref="T108">MMULT($D108:$G108,T$87:T$90)</f>
        <v>-3.7422620788114425E-2</v>
      </c>
      <c r="U108" s="11" cm="1">
        <f t="array" ref="U108">MMULT($D108:$G108,U$87:U$90)</f>
        <v>-5.9439711691825145E-2</v>
      </c>
      <c r="V108" s="11" cm="1">
        <f t="array" ref="V108">MMULT($D108:$G108,V$87:V$90)</f>
        <v>5.5666835241314425E-3</v>
      </c>
      <c r="W108" s="11" cm="1">
        <f t="array" ref="W108">MMULT($D108:$G108,W$87:W$90)</f>
        <v>-5.1411707072405888E-2</v>
      </c>
      <c r="X108" s="11" cm="1">
        <f t="array" ref="X108">MMULT($D108:$G108,X$87:X$90)</f>
        <v>-3.1233800762765291E-2</v>
      </c>
      <c r="Y108" s="11" cm="1">
        <f t="array" ref="Y108">MMULT($D108:$G108,Y$87:Y$90)</f>
        <v>-2.6063696658800456E-2</v>
      </c>
      <c r="Z108" s="11" cm="1">
        <f t="array" ref="Z108">MMULT($D108:$G108,Z$87:Z$90)</f>
        <v>-2.9861304648246361E-2</v>
      </c>
      <c r="AA108" s="11" cm="1">
        <f t="array" ref="AA108">MMULT($D108:$G108,AA$87:AA$90)</f>
        <v>3.0395839007356144E-2</v>
      </c>
      <c r="AB108" s="11" cm="1">
        <f t="array" ref="AB108">MMULT($D108:$G108,AB$87:AB$90)</f>
        <v>2.8853147970462144E-2</v>
      </c>
      <c r="AC108" s="11" cm="1">
        <f t="array" ref="AC108">MMULT($D108:$G108,AC$87:AC$90)</f>
        <v>5.2168065935156924E-3</v>
      </c>
      <c r="AD108" s="11" cm="1">
        <f t="array" ref="AD108">MMULT($D108:$G108,AD$87:AD$90)</f>
        <v>4.4994312389635485E-2</v>
      </c>
      <c r="AE108" s="11" cm="1">
        <f t="array" ref="AE108">MMULT($D108:$G108,AE$87:AE$90)</f>
        <v>-8.6666561666967068E-3</v>
      </c>
      <c r="AF108" s="11" cm="1">
        <f t="array" ref="AF108">MMULT($D108:$G108,AF$87:AF$90)</f>
        <v>3.0588809320588606E-3</v>
      </c>
      <c r="AG108" s="11" cm="1">
        <f t="array" ref="AG108">MMULT($D108:$G108,AG$87:AG$90)</f>
        <v>-2.5380683597660374E-2</v>
      </c>
      <c r="AH108" s="11" cm="1">
        <f t="array" ref="AH108">MMULT($D108:$G108,AH$87:AH$90)</f>
        <v>-5.1758390191301698E-2</v>
      </c>
      <c r="AI108" s="11" cm="1">
        <f t="array" ref="AI108">MMULT($D108:$G108,AI$87:AI$90)</f>
        <v>-4.6498056974172843E-2</v>
      </c>
      <c r="AJ108" s="11" cm="1">
        <f t="array" ref="AJ108">MMULT($D108:$G108,AJ$87:AJ$90)</f>
        <v>-1.8962254509901227E-2</v>
      </c>
      <c r="AK108" s="11" cm="1">
        <f t="array" ref="AK108">MMULT($D108:$G108,AK$87:AK$90)</f>
        <v>-3.2479329531592889E-2</v>
      </c>
      <c r="AL108" s="11" cm="1">
        <f t="array" ref="AL108">MMULT($D108:$G108,AL$87:AL$90)</f>
        <v>-5.4527480653683902E-2</v>
      </c>
      <c r="AM108" s="11" cm="1">
        <f t="array" ref="AM108">MMULT($D108:$G108,AM$87:AM$90)</f>
        <v>7.3659266607956492E-3</v>
      </c>
      <c r="AN108" s="11" cm="1">
        <f t="array" ref="AN108">MMULT($D108:$G108,AN$87:AN$90)</f>
        <v>1.8726470282358708E-2</v>
      </c>
      <c r="AO108" s="11" cm="1">
        <f t="array" ref="AO108">MMULT($D108:$G108,AO$87:AO$90)</f>
        <v>2.3203745471970967E-2</v>
      </c>
      <c r="AP108" s="11" cm="1">
        <f t="array" ref="AP108">MMULT($D108:$G108,AP$87:AP$90)</f>
        <v>-3.6299829747296918E-2</v>
      </c>
      <c r="AQ108" s="11" cm="1">
        <f t="array" ref="AQ108">MMULT($D108:$G108,AQ$87:AQ$90)</f>
        <v>1.144466668067614E-2</v>
      </c>
      <c r="AR108" s="11" cm="1">
        <f t="array" ref="AR108">MMULT($D108:$G108,AR$87:AR$90)</f>
        <v>-3.9907990185105151E-2</v>
      </c>
      <c r="AS108" s="11" cm="1">
        <f t="array" ref="AS108">MMULT($D108:$G108,AS$87:AS$90)</f>
        <v>1.0182934575880959E-2</v>
      </c>
      <c r="AT108" s="11" cm="1">
        <f t="array" ref="AT108">MMULT($D108:$G108,AT$87:AT$90)</f>
        <v>9.3363756173895918E-3</v>
      </c>
      <c r="AU108" s="11" cm="1">
        <f t="array" ref="AU108">MMULT($D108:$G108,AU$87:AU$90)</f>
        <v>-9.2142085833506401E-3</v>
      </c>
      <c r="AV108" s="11" cm="1">
        <f t="array" ref="AV108">MMULT($D108:$G108,AV$87:AV$90)</f>
        <v>-5.9874310250560211E-3</v>
      </c>
      <c r="AW108" s="11" cm="1">
        <f t="array" ref="AW108">MMULT($D108:$G108,AW$87:AW$90)</f>
        <v>-5.1409107220599617E-2</v>
      </c>
      <c r="AX108" s="11" cm="1">
        <f t="array" ref="AX108">MMULT($D108:$G108,AX$87:AX$90)</f>
        <v>2.2745538648240991E-2</v>
      </c>
      <c r="AY108" s="11" cm="1">
        <f t="array" ref="AY108">MMULT($D108:$G108,AY$87:AY$90)</f>
        <v>-1.0270755496320137E-2</v>
      </c>
      <c r="AZ108" s="11" cm="1">
        <f t="array" ref="AZ108">MMULT($D108:$G108,AZ$87:AZ$90)</f>
        <v>-2.4751339117162135E-2</v>
      </c>
      <c r="BA108" s="11" cm="1">
        <f t="array" ref="BA108">MMULT($D108:$G108,BA$87:BA$90)</f>
        <v>3.3531825894789563E-2</v>
      </c>
      <c r="BB108" s="11" cm="1">
        <f t="array" ref="BB108">MMULT($D108:$G108,BB$87:BB$90)</f>
        <v>-4.473171883707118E-2</v>
      </c>
      <c r="BC108" s="11" cm="1">
        <f t="array" ref="BC108">MMULT($D108:$G108,BC$87:BC$90)</f>
        <v>4.0874456885223301E-2</v>
      </c>
      <c r="BD108" s="11" cm="1">
        <f t="array" ref="BD108">MMULT($D108:$G108,BD$87:BD$90)</f>
        <v>-4.9262639822608631E-3</v>
      </c>
      <c r="BE108" s="11" cm="1">
        <f t="array" ref="BE108">MMULT($D108:$G108,BE$87:BE$90)</f>
        <v>1.8452892985845459E-2</v>
      </c>
    </row>
    <row r="109" spans="4:57" x14ac:dyDescent="0.3">
      <c r="D109" s="9">
        <v>0.1762911464245176</v>
      </c>
      <c r="E109" s="9">
        <v>8.544891640866803E-3</v>
      </c>
      <c r="F109" s="9">
        <v>1.479722323712096E-2</v>
      </c>
      <c r="G109" s="9">
        <v>-5.4450603195304814E-2</v>
      </c>
      <c r="H109" s="21" cm="1">
        <f t="array" ref="H109">MMULT($D109:$G109,H$87:H$90)</f>
        <v>3.6295664526800137E-2</v>
      </c>
      <c r="I109" s="11" cm="1">
        <f t="array" ref="I109">MMULT($D109:$G109,I$87:I$90)</f>
        <v>1.2498555032973101E-2</v>
      </c>
      <c r="J109" s="11" cm="1">
        <f t="array" ref="J109">MMULT($D109:$G109,J$87:J$90)</f>
        <v>2.45142578655351E-2</v>
      </c>
      <c r="K109" s="11" cm="1">
        <f t="array" ref="K109">MMULT($D109:$G109,K$87:K$90)</f>
        <v>2.3545744547752049E-2</v>
      </c>
      <c r="L109" s="11" cm="1">
        <f t="array" ref="L109">MMULT($D109:$G109,L$87:L$90)</f>
        <v>8.9450964066769181E-2</v>
      </c>
      <c r="M109" s="11" cm="1">
        <f t="array" ref="M109">MMULT($D109:$G109,M$87:M$90)</f>
        <v>7.8725213657437454E-2</v>
      </c>
      <c r="N109" s="11" cm="1">
        <f t="array" ref="N109">MMULT($D109:$G109,N$87:N$90)</f>
        <v>3.0391941098567292E-2</v>
      </c>
      <c r="O109" s="11" cm="1">
        <f t="array" ref="O109">MMULT($D109:$G109,O$87:O$90)</f>
        <v>5.6380735102289081E-4</v>
      </c>
      <c r="P109" s="11" cm="1">
        <f t="array" ref="P109">MMULT($D109:$G109,P$87:P$90)</f>
        <v>7.8456317796990638E-2</v>
      </c>
      <c r="Q109" s="11" cm="1">
        <f t="array" ref="Q109">MMULT($D109:$G109,Q$87:Q$90)</f>
        <v>3.2802546149917566E-2</v>
      </c>
      <c r="R109" s="11" cm="1">
        <f t="array" ref="R109">MMULT($D109:$G109,R$87:R$90)</f>
        <v>7.6433269358852751E-2</v>
      </c>
      <c r="S109" s="11" cm="1">
        <f t="array" ref="S109">MMULT($D109:$G109,S$87:S$90)</f>
        <v>-5.5460787861249077E-3</v>
      </c>
      <c r="T109" s="11" cm="1">
        <f t="array" ref="T109">MMULT($D109:$G109,T$87:T$90)</f>
        <v>5.0092989763294619E-2</v>
      </c>
      <c r="U109" s="11" cm="1">
        <f t="array" ref="U109">MMULT($D109:$G109,U$87:U$90)</f>
        <v>0.11031688730682078</v>
      </c>
      <c r="V109" s="11" cm="1">
        <f t="array" ref="V109">MMULT($D109:$G109,V$87:V$90)</f>
        <v>1.6293417250418676E-2</v>
      </c>
      <c r="W109" s="11" cm="1">
        <f t="array" ref="W109">MMULT($D109:$G109,W$87:W$90)</f>
        <v>4.9915900083097112E-2</v>
      </c>
      <c r="X109" s="11" cm="1">
        <f t="array" ref="X109">MMULT($D109:$G109,X$87:X$90)</f>
        <v>3.2361268836028328E-2</v>
      </c>
      <c r="Y109" s="11" cm="1">
        <f t="array" ref="Y109">MMULT($D109:$G109,Y$87:Y$90)</f>
        <v>7.3099338684502867E-3</v>
      </c>
      <c r="Z109" s="11" cm="1">
        <f t="array" ref="Z109">MMULT($D109:$G109,Z$87:Z$90)</f>
        <v>9.4762408641385659E-2</v>
      </c>
      <c r="AA109" s="11" cm="1">
        <f t="array" ref="AA109">MMULT($D109:$G109,AA$87:AA$90)</f>
        <v>1.8486840659754488E-2</v>
      </c>
      <c r="AB109" s="11" cm="1">
        <f t="array" ref="AB109">MMULT($D109:$G109,AB$87:AB$90)</f>
        <v>-4.8449770082068626E-3</v>
      </c>
      <c r="AC109" s="11" cm="1">
        <f t="array" ref="AC109">MMULT($D109:$G109,AC$87:AC$90)</f>
        <v>1.245319179071968E-2</v>
      </c>
      <c r="AD109" s="11" cm="1">
        <f t="array" ref="AD109">MMULT($D109:$G109,AD$87:AD$90)</f>
        <v>1.3290271904730158E-2</v>
      </c>
      <c r="AE109" s="11" cm="1">
        <f t="array" ref="AE109">MMULT($D109:$G109,AE$87:AE$90)</f>
        <v>5.7846714530850996E-2</v>
      </c>
      <c r="AF109" s="11" cm="1">
        <f t="array" ref="AF109">MMULT($D109:$G109,AF$87:AF$90)</f>
        <v>1.2995937490873799E-2</v>
      </c>
      <c r="AG109" s="11" cm="1">
        <f t="array" ref="AG109">MMULT($D109:$G109,AG$87:AG$90)</f>
        <v>9.6803088675997725E-2</v>
      </c>
      <c r="AH109" s="11" cm="1">
        <f t="array" ref="AH109">MMULT($D109:$G109,AH$87:AH$90)</f>
        <v>9.584720263828754E-2</v>
      </c>
      <c r="AI109" s="11" cm="1">
        <f t="array" ref="AI109">MMULT($D109:$G109,AI$87:AI$90)</f>
        <v>0.11909331278133142</v>
      </c>
      <c r="AJ109" s="11" cm="1">
        <f t="array" ref="AJ109">MMULT($D109:$G109,AJ$87:AJ$90)</f>
        <v>2.0801111886975768E-2</v>
      </c>
      <c r="AK109" s="11" cm="1">
        <f t="array" ref="AK109">MMULT($D109:$G109,AK$87:AK$90)</f>
        <v>8.6583928568411878E-2</v>
      </c>
      <c r="AL109" s="11" cm="1">
        <f t="array" ref="AL109">MMULT($D109:$G109,AL$87:AL$90)</f>
        <v>0.12403096423495494</v>
      </c>
      <c r="AM109" s="11" cm="1">
        <f t="array" ref="AM109">MMULT($D109:$G109,AM$87:AM$90)</f>
        <v>2.5471596818414537E-2</v>
      </c>
      <c r="AN109" s="11" cm="1">
        <f t="array" ref="AN109">MMULT($D109:$G109,AN$87:AN$90)</f>
        <v>7.0638221211599926E-3</v>
      </c>
      <c r="AO109" s="11" cm="1">
        <f t="array" ref="AO109">MMULT($D109:$G109,AO$87:AO$90)</f>
        <v>2.3982818573785834E-3</v>
      </c>
      <c r="AP109" s="11" cm="1">
        <f t="array" ref="AP109">MMULT($D109:$G109,AP$87:AP$90)</f>
        <v>3.8726714981662608E-2</v>
      </c>
      <c r="AQ109" s="11" cm="1">
        <f t="array" ref="AQ109">MMULT($D109:$G109,AQ$87:AQ$90)</f>
        <v>3.0644333894122664E-2</v>
      </c>
      <c r="AR109" s="11" cm="1">
        <f t="array" ref="AR109">MMULT($D109:$G109,AR$87:AR$90)</f>
        <v>5.3390790831855016E-2</v>
      </c>
      <c r="AS109" s="11" cm="1">
        <f t="array" ref="AS109">MMULT($D109:$G109,AS$87:AS$90)</f>
        <v>5.9841181057698395E-2</v>
      </c>
      <c r="AT109" s="11" cm="1">
        <f t="array" ref="AT109">MMULT($D109:$G109,AT$87:AT$90)</f>
        <v>-5.5562275872712702E-3</v>
      </c>
      <c r="AU109" s="11" cm="1">
        <f t="array" ref="AU109">MMULT($D109:$G109,AU$87:AU$90)</f>
        <v>1.2080441484137474E-2</v>
      </c>
      <c r="AV109" s="11" cm="1">
        <f t="array" ref="AV109">MMULT($D109:$G109,AV$87:AV$90)</f>
        <v>2.7943760869982411E-2</v>
      </c>
      <c r="AW109" s="11" cm="1">
        <f t="array" ref="AW109">MMULT($D109:$G109,AW$87:AW$90)</f>
        <v>1.1952658861692439E-2</v>
      </c>
      <c r="AX109" s="11" cm="1">
        <f t="array" ref="AX109">MMULT($D109:$G109,AX$87:AX$90)</f>
        <v>-1.2120793558565287E-2</v>
      </c>
      <c r="AY109" s="11" cm="1">
        <f t="array" ref="AY109">MMULT($D109:$G109,AY$87:AY$90)</f>
        <v>8.3012030211082194E-3</v>
      </c>
      <c r="AZ109" s="11" cm="1">
        <f t="array" ref="AZ109">MMULT($D109:$G109,AZ$87:AZ$90)</f>
        <v>8.768316126489438E-2</v>
      </c>
      <c r="BA109" s="11" cm="1">
        <f t="array" ref="BA109">MMULT($D109:$G109,BA$87:BA$90)</f>
        <v>1.981740584599765E-2</v>
      </c>
      <c r="BB109" s="11" cm="1">
        <f t="array" ref="BB109">MMULT($D109:$G109,BB$87:BB$90)</f>
        <v>1.9741629704026275E-2</v>
      </c>
      <c r="BC109" s="11" cm="1">
        <f t="array" ref="BC109">MMULT($D109:$G109,BC$87:BC$90)</f>
        <v>8.5850248193710121E-3</v>
      </c>
      <c r="BD109" s="11" cm="1">
        <f t="array" ref="BD109">MMULT($D109:$G109,BD$87:BD$90)</f>
        <v>2.9507440180779124E-3</v>
      </c>
      <c r="BE109" s="11" cm="1">
        <f t="array" ref="BE109">MMULT($D109:$G109,BE$87:BE$90)</f>
        <v>5.6622509699979853E-3</v>
      </c>
    </row>
    <row r="110" spans="4:57" x14ac:dyDescent="0.3">
      <c r="D110" s="9">
        <v>-3.105964658344007E-3</v>
      </c>
      <c r="E110" s="9">
        <v>-4.2669449901768131E-2</v>
      </c>
      <c r="F110" s="9">
        <v>-6.9006900690069539E-3</v>
      </c>
      <c r="G110" s="9">
        <v>-5.1724137931034364E-2</v>
      </c>
      <c r="H110" s="21" cm="1">
        <f t="array" ref="H110">MMULT($D110:$G110,H$87:H$90)</f>
        <v>-2.6100060640038364E-2</v>
      </c>
      <c r="I110" s="11" cm="1">
        <f t="array" ref="I110">MMULT($D110:$G110,I$87:I$90)</f>
        <v>-3.2072045498068316E-2</v>
      </c>
      <c r="J110" s="11" cm="1">
        <f t="array" ref="J110">MMULT($D110:$G110,J$87:J$90)</f>
        <v>-3.0746596458621173E-2</v>
      </c>
      <c r="K110" s="11" cm="1">
        <f t="array" ref="K110">MMULT($D110:$G110,K$87:K$90)</f>
        <v>-2.4210402717249467E-2</v>
      </c>
      <c r="L110" s="11" cm="1">
        <f t="array" ref="L110">MMULT($D110:$G110,L$87:L$90)</f>
        <v>-1.9547332759306119E-2</v>
      </c>
      <c r="M110" s="11" cm="1">
        <f t="array" ref="M110">MMULT($D110:$G110,M$87:M$90)</f>
        <v>-2.3849760167013512E-2</v>
      </c>
      <c r="N110" s="11" cm="1">
        <f t="array" ref="N110">MMULT($D110:$G110,N$87:N$90)</f>
        <v>-3.2502857913041458E-2</v>
      </c>
      <c r="O110" s="11" cm="1">
        <f t="array" ref="O110">MMULT($D110:$G110,O$87:O$90)</f>
        <v>-2.525208475900103E-2</v>
      </c>
      <c r="P110" s="11" cm="1">
        <f t="array" ref="P110">MMULT($D110:$G110,P$87:P$90)</f>
        <v>-1.1130253651078368E-2</v>
      </c>
      <c r="Q110" s="11" cm="1">
        <f t="array" ref="Q110">MMULT($D110:$G110,Q$87:Q$90)</f>
        <v>-2.4883078882633938E-2</v>
      </c>
      <c r="R110" s="11" cm="1">
        <f t="array" ref="R110">MMULT($D110:$G110,R$87:R$90)</f>
        <v>-2.230760406595076E-2</v>
      </c>
      <c r="S110" s="11" cm="1">
        <f t="array" ref="S110">MMULT($D110:$G110,S$87:S$90)</f>
        <v>-3.7030336663070783E-2</v>
      </c>
      <c r="T110" s="11" cm="1">
        <f t="array" ref="T110">MMULT($D110:$G110,T$87:T$90)</f>
        <v>-2.3977705018312895E-2</v>
      </c>
      <c r="U110" s="11" cm="1">
        <f t="array" ref="U110">MMULT($D110:$G110,U$87:U$90)</f>
        <v>-1.4487523434660046E-2</v>
      </c>
      <c r="V110" s="11" cm="1">
        <f t="array" ref="V110">MMULT($D110:$G110,V$87:V$90)</f>
        <v>-3.2526122782122774E-2</v>
      </c>
      <c r="W110" s="11" cm="1">
        <f t="array" ref="W110">MMULT($D110:$G110,W$87:W$90)</f>
        <v>-2.1771829199519956E-2</v>
      </c>
      <c r="X110" s="11" cm="1">
        <f t="array" ref="X110">MMULT($D110:$G110,X$87:X$90)</f>
        <v>-1.5208340871676461E-2</v>
      </c>
      <c r="Y110" s="11" cm="1">
        <f t="array" ref="Y110">MMULT($D110:$G110,Y$87:Y$90)</f>
        <v>-3.4049605523011256E-2</v>
      </c>
      <c r="Z110" s="11" cm="1">
        <f t="array" ref="Z110">MMULT($D110:$G110,Z$87:Z$90)</f>
        <v>-1.5233576283000452E-2</v>
      </c>
      <c r="AA110" s="11" cm="1">
        <f t="array" ref="AA110">MMULT($D110:$G110,AA$87:AA$90)</f>
        <v>-3.5542943655493063E-2</v>
      </c>
      <c r="AB110" s="11" cm="1">
        <f t="array" ref="AB110">MMULT($D110:$G110,AB$87:AB$90)</f>
        <v>-3.663177943546346E-2</v>
      </c>
      <c r="AC110" s="11" cm="1">
        <f t="array" ref="AC110">MMULT($D110:$G110,AC$87:AC$90)</f>
        <v>-2.4522032855852329E-2</v>
      </c>
      <c r="AD110" s="11" cm="1">
        <f t="array" ref="AD110">MMULT($D110:$G110,AD$87:AD$90)</f>
        <v>-3.6986443612262707E-2</v>
      </c>
      <c r="AE110" s="11" cm="1">
        <f t="array" ref="AE110">MMULT($D110:$G110,AE$87:AE$90)</f>
        <v>-2.4337275843812713E-2</v>
      </c>
      <c r="AF110" s="11" cm="1">
        <f t="array" ref="AF110">MMULT($D110:$G110,AF$87:AF$90)</f>
        <v>-1.9183312322797019E-2</v>
      </c>
      <c r="AG110" s="11" cm="1">
        <f t="array" ref="AG110">MMULT($D110:$G110,AG$87:AG$90)</f>
        <v>-1.9110037544193686E-2</v>
      </c>
      <c r="AH110" s="11" cm="1">
        <f t="array" ref="AH110">MMULT($D110:$G110,AH$87:AH$90)</f>
        <v>-1.49681786911449E-2</v>
      </c>
      <c r="AI110" s="11" cm="1">
        <f t="array" ref="AI110">MMULT($D110:$G110,AI$87:AI$90)</f>
        <v>-1.3773915348024773E-2</v>
      </c>
      <c r="AJ110" s="11" cm="1">
        <f t="array" ref="AJ110">MMULT($D110:$G110,AJ$87:AJ$90)</f>
        <v>-2.8412912442141822E-2</v>
      </c>
      <c r="AK110" s="11" cm="1">
        <f t="array" ref="AK110">MMULT($D110:$G110,AK$87:AK$90)</f>
        <v>-1.9072796219624166E-2</v>
      </c>
      <c r="AL110" s="11" cm="1">
        <f t="array" ref="AL110">MMULT($D110:$G110,AL$87:AL$90)</f>
        <v>-1.1940421795067564E-2</v>
      </c>
      <c r="AM110" s="11" cm="1">
        <f t="array" ref="AM110">MMULT($D110:$G110,AM$87:AM$90)</f>
        <v>-2.1976417734393201E-2</v>
      </c>
      <c r="AN110" s="11" cm="1">
        <f t="array" ref="AN110">MMULT($D110:$G110,AN$87:AN$90)</f>
        <v>-3.2311849073488254E-2</v>
      </c>
      <c r="AO110" s="11" cm="1">
        <f t="array" ref="AO110">MMULT($D110:$G110,AO$87:AO$90)</f>
        <v>-3.8925320831849713E-2</v>
      </c>
      <c r="AP110" s="11" cm="1">
        <f t="array" ref="AP110">MMULT($D110:$G110,AP$87:AP$90)</f>
        <v>-1.4571120118186374E-2</v>
      </c>
      <c r="AQ110" s="11" cm="1">
        <f t="array" ref="AQ110">MMULT($D110:$G110,AQ$87:AQ$90)</f>
        <v>-2.4078298124843821E-2</v>
      </c>
      <c r="AR110" s="11" cm="1">
        <f t="array" ref="AR110">MMULT($D110:$G110,AR$87:AR$90)</f>
        <v>-1.0075477078629264E-2</v>
      </c>
      <c r="AS110" s="11" cm="1">
        <f t="array" ref="AS110">MMULT($D110:$G110,AS$87:AS$90)</f>
        <v>-2.6724159307226346E-2</v>
      </c>
      <c r="AT110" s="11" cm="1">
        <f t="array" ref="AT110">MMULT($D110:$G110,AT$87:AT$90)</f>
        <v>-3.3623437378588576E-2</v>
      </c>
      <c r="AU110" s="11" cm="1">
        <f t="array" ref="AU110">MMULT($D110:$G110,AU$87:AU$90)</f>
        <v>-3.7960160081450402E-2</v>
      </c>
      <c r="AV110" s="11" cm="1">
        <f t="array" ref="AV110">MMULT($D110:$G110,AV$87:AV$90)</f>
        <v>-3.523895451915536E-2</v>
      </c>
      <c r="AW110" s="11" cm="1">
        <f t="array" ref="AW110">MMULT($D110:$G110,AW$87:AW$90)</f>
        <v>-3.314593704690582E-2</v>
      </c>
      <c r="AX110" s="11" cm="1">
        <f t="array" ref="AX110">MMULT($D110:$G110,AX$87:AX$90)</f>
        <v>-4.4480085299510932E-2</v>
      </c>
      <c r="AY110" s="11" cm="1">
        <f t="array" ref="AY110">MMULT($D110:$G110,AY$87:AY$90)</f>
        <v>-3.9418561033058699E-2</v>
      </c>
      <c r="AZ110" s="11" cm="1">
        <f t="array" ref="AZ110">MMULT($D110:$G110,AZ$87:AZ$90)</f>
        <v>-1.862989514212543E-2</v>
      </c>
      <c r="BA110" s="11" cm="1">
        <f t="array" ref="BA110">MMULT($D110:$G110,BA$87:BA$90)</f>
        <v>-3.0883808743673288E-2</v>
      </c>
      <c r="BB110" s="11" cm="1">
        <f t="array" ref="BB110">MMULT($D110:$G110,BB$87:BB$90)</f>
        <v>-2.4578233673371849E-2</v>
      </c>
      <c r="BC110" s="11" cm="1">
        <f t="array" ref="BC110">MMULT($D110:$G110,BC$87:BC$90)</f>
        <v>-3.4952383983626704E-2</v>
      </c>
      <c r="BD110" s="11" cm="1">
        <f t="array" ref="BD110">MMULT($D110:$G110,BD$87:BD$90)</f>
        <v>-1.9261774996042293E-2</v>
      </c>
      <c r="BE110" s="11" cm="1">
        <f t="array" ref="BE110">MMULT($D110:$G110,BE$87:BE$90)</f>
        <v>-3.159196625436151E-2</v>
      </c>
    </row>
    <row r="111" spans="4:57" x14ac:dyDescent="0.3">
      <c r="D111" s="9">
        <v>1.7332647690492919E-2</v>
      </c>
      <c r="E111" s="9">
        <v>9.7094850253318654E-2</v>
      </c>
      <c r="F111" s="9">
        <v>3.2990936555891359E-2</v>
      </c>
      <c r="G111" s="9">
        <v>6.8181818181818121E-2</v>
      </c>
      <c r="H111" s="21" cm="1">
        <f t="array" ref="H111">MMULT($D111:$G111,H$87:H$90)</f>
        <v>5.3900063170380264E-2</v>
      </c>
      <c r="I111" s="11" cm="1">
        <f t="array" ref="I111">MMULT($D111:$G111,I$87:I$90)</f>
        <v>6.5272212753404335E-2</v>
      </c>
      <c r="J111" s="11" cm="1">
        <f t="array" ref="J111">MMULT($D111:$G111,J$87:J$90)</f>
        <v>7.0579719197020233E-2</v>
      </c>
      <c r="K111" s="11" cm="1">
        <f t="array" ref="K111">MMULT($D111:$G111,K$87:K$90)</f>
        <v>4.6926893416844126E-2</v>
      </c>
      <c r="L111" s="11" cm="1">
        <f t="array" ref="L111">MMULT($D111:$G111,L$87:L$90)</f>
        <v>4.485470572275637E-2</v>
      </c>
      <c r="M111" s="11" cm="1">
        <f t="array" ref="M111">MMULT($D111:$G111,M$87:M$90)</f>
        <v>4.5560517779935944E-2</v>
      </c>
      <c r="N111" s="11" cm="1">
        <f t="array" ref="N111">MMULT($D111:$G111,N$87:N$90)</f>
        <v>6.0541683504801158E-2</v>
      </c>
      <c r="O111" s="11" cm="1">
        <f t="array" ref="O111">MMULT($D111:$G111,O$87:O$90)</f>
        <v>5.7427791906155108E-2</v>
      </c>
      <c r="P111" s="11" cm="1">
        <f t="array" ref="P111">MMULT($D111:$G111,P$87:P$90)</f>
        <v>3.4072082532098175E-2</v>
      </c>
      <c r="Q111" s="11" cm="1">
        <f t="array" ref="Q111">MMULT($D111:$G111,Q$87:Q$90)</f>
        <v>5.958428323570511E-2</v>
      </c>
      <c r="R111" s="11" cm="1">
        <f t="array" ref="R111">MMULT($D111:$G111,R$87:R$90)</f>
        <v>4.5338004230719584E-2</v>
      </c>
      <c r="S111" s="11" cm="1">
        <f t="array" ref="S111">MMULT($D111:$G111,S$87:S$90)</f>
        <v>5.7243245800520939E-2</v>
      </c>
      <c r="T111" s="11" cm="1">
        <f t="array" ref="T111">MMULT($D111:$G111,T$87:T$90)</f>
        <v>5.5780944193235066E-2</v>
      </c>
      <c r="U111" s="11" cm="1">
        <f t="array" ref="U111">MMULT($D111:$G111,U$87:U$90)</f>
        <v>4.0460814993469464E-2</v>
      </c>
      <c r="V111" s="11" cm="1">
        <f t="array" ref="V111">MMULT($D111:$G111,V$87:V$90)</f>
        <v>6.0655349662598231E-2</v>
      </c>
      <c r="W111" s="11" cm="1">
        <f t="array" ref="W111">MMULT($D111:$G111,W$87:W$90)</f>
        <v>5.6402375421482819E-2</v>
      </c>
      <c r="X111" s="11" cm="1">
        <f t="array" ref="X111">MMULT($D111:$G111,X$87:X$90)</f>
        <v>4.3046412625498853E-2</v>
      </c>
      <c r="Y111" s="11" cm="1">
        <f t="array" ref="Y111">MMULT($D111:$G111,Y$87:Y$90)</f>
        <v>7.2849717073912135E-2</v>
      </c>
      <c r="Z111" s="11" cm="1">
        <f t="array" ref="Z111">MMULT($D111:$G111,Z$87:Z$90)</f>
        <v>3.5192607935167645E-2</v>
      </c>
      <c r="AA111" s="11" cm="1">
        <f t="array" ref="AA111">MMULT($D111:$G111,AA$87:AA$90)</f>
        <v>5.7980112654458432E-2</v>
      </c>
      <c r="AB111" s="11" cm="1">
        <f t="array" ref="AB111">MMULT($D111:$G111,AB$87:AB$90)</f>
        <v>6.2849761193851827E-2</v>
      </c>
      <c r="AC111" s="11" cm="1">
        <f t="array" ref="AC111">MMULT($D111:$G111,AC$87:AC$90)</f>
        <v>4.9221507808836343E-2</v>
      </c>
      <c r="AD111" s="11" cm="1">
        <f t="array" ref="AD111">MMULT($D111:$G111,AD$87:AD$90)</f>
        <v>5.6692770515579777E-2</v>
      </c>
      <c r="AE111" s="11" cm="1">
        <f t="array" ref="AE111">MMULT($D111:$G111,AE$87:AE$90)</f>
        <v>4.7358659824783836E-2</v>
      </c>
      <c r="AF111" s="11" cm="1">
        <f t="array" ref="AF111">MMULT($D111:$G111,AF$87:AF$90)</f>
        <v>4.1758934293255195E-2</v>
      </c>
      <c r="AG111" s="11" cm="1">
        <f t="array" ref="AG111">MMULT($D111:$G111,AG$87:AG$90)</f>
        <v>3.950477971123624E-2</v>
      </c>
      <c r="AH111" s="11" cm="1">
        <f t="array" ref="AH111">MMULT($D111:$G111,AH$87:AH$90)</f>
        <v>4.0777640174066085E-2</v>
      </c>
      <c r="AI111" s="11" cm="1">
        <f t="array" ref="AI111">MMULT($D111:$G111,AI$87:AI$90)</f>
        <v>3.4722434693738743E-2</v>
      </c>
      <c r="AJ111" s="11" cm="1">
        <f t="array" ref="AJ111">MMULT($D111:$G111,AJ$87:AJ$90)</f>
        <v>6.0797590030663914E-2</v>
      </c>
      <c r="AK111" s="11" cm="1">
        <f t="array" ref="AK111">MMULT($D111:$G111,AK$87:AK$90)</f>
        <v>4.2660405043307772E-2</v>
      </c>
      <c r="AL111" s="11" cm="1">
        <f t="array" ref="AL111">MMULT($D111:$G111,AL$87:AL$90)</f>
        <v>3.3622600491187316E-2</v>
      </c>
      <c r="AM111" s="11" cm="1">
        <f t="array" ref="AM111">MMULT($D111:$G111,AM$87:AM$90)</f>
        <v>4.3240634721944032E-2</v>
      </c>
      <c r="AN111" s="11" cm="1">
        <f t="array" ref="AN111">MMULT($D111:$G111,AN$87:AN$90)</f>
        <v>5.7770872733174376E-2</v>
      </c>
      <c r="AO111" s="11" cm="1">
        <f t="array" ref="AO111">MMULT($D111:$G111,AO$87:AO$90)</f>
        <v>6.6992136013403356E-2</v>
      </c>
      <c r="AP111" s="11" cm="1">
        <f t="array" ref="AP111">MMULT($D111:$G111,AP$87:AP$90)</f>
        <v>4.2739991525702854E-2</v>
      </c>
      <c r="AQ111" s="11" cm="1">
        <f t="array" ref="AQ111">MMULT($D111:$G111,AQ$87:AQ$90)</f>
        <v>4.4629046122018026E-2</v>
      </c>
      <c r="AR111" s="11" cm="1">
        <f t="array" ref="AR111">MMULT($D111:$G111,AR$87:AR$90)</f>
        <v>3.52464359438679E-2</v>
      </c>
      <c r="AS111" s="11" cm="1">
        <f t="array" ref="AS111">MMULT($D111:$G111,AS$87:AS$90)</f>
        <v>4.5432821393241452E-2</v>
      </c>
      <c r="AT111" s="11" cm="1">
        <f t="array" ref="AT111">MMULT($D111:$G111,AT$87:AT$90)</f>
        <v>6.3876245815568805E-2</v>
      </c>
      <c r="AU111" s="11" cm="1">
        <f t="array" ref="AU111">MMULT($D111:$G111,AU$87:AU$90)</f>
        <v>7.3431360144379093E-2</v>
      </c>
      <c r="AV111" s="11" cm="1">
        <f t="array" ref="AV111">MMULT($D111:$G111,AV$87:AV$90)</f>
        <v>6.654419983993505E-2</v>
      </c>
      <c r="AW111" s="11" cm="1">
        <f t="array" ref="AW111">MMULT($D111:$G111,AW$87:AW$90)</f>
        <v>7.8012938586063535E-2</v>
      </c>
      <c r="AX111" s="11" cm="1">
        <f t="array" ref="AX111">MMULT($D111:$G111,AX$87:AX$90)</f>
        <v>7.7190518319740109E-2</v>
      </c>
      <c r="AY111" s="11" cm="1">
        <f t="array" ref="AY111">MMULT($D111:$G111,AY$87:AY$90)</f>
        <v>7.6366383052168196E-2</v>
      </c>
      <c r="AZ111" s="11" cm="1">
        <f t="array" ref="AZ111">MMULT($D111:$G111,AZ$87:AZ$90)</f>
        <v>3.9706976620348104E-2</v>
      </c>
      <c r="BA111" s="11" cm="1">
        <f t="array" ref="BA111">MMULT($D111:$G111,BA$87:BA$90)</f>
        <v>4.9963100747343232E-2</v>
      </c>
      <c r="BB111" s="11" cm="1">
        <f t="array" ref="BB111">MMULT($D111:$G111,BB$87:BB$90)</f>
        <v>6.2373395277802994E-2</v>
      </c>
      <c r="BC111" s="11" cm="1">
        <f t="array" ref="BC111">MMULT($D111:$G111,BC$87:BC$90)</f>
        <v>5.5361211736313802E-2</v>
      </c>
      <c r="BD111" s="11" cm="1">
        <f t="array" ref="BD111">MMULT($D111:$G111,BD$87:BD$90)</f>
        <v>4.5314495082653228E-2</v>
      </c>
      <c r="BE111" s="11" cm="1">
        <f t="array" ref="BE111">MMULT($D111:$G111,BE$87:BE$90)</f>
        <v>5.6937198233568229E-2</v>
      </c>
    </row>
    <row r="112" spans="4:57" x14ac:dyDescent="0.3">
      <c r="D112" s="9">
        <v>-7.5344909609895261E-2</v>
      </c>
      <c r="E112" s="9">
        <v>7.1315835622844936E-3</v>
      </c>
      <c r="F112" s="9">
        <v>-1.6787552643893311E-2</v>
      </c>
      <c r="G112" s="9">
        <v>-8.9361702127659592E-2</v>
      </c>
      <c r="H112" s="21" cm="1">
        <f t="array" ref="H112">MMULT($D112:$G112,H$87:H$90)</f>
        <v>-4.3590645204790918E-2</v>
      </c>
      <c r="I112" s="11" cm="1">
        <f t="array" ref="I112">MMULT($D112:$G112,I$87:I$90)</f>
        <v>-3.316294339092752E-2</v>
      </c>
      <c r="J112" s="11" cm="1">
        <f t="array" ref="J112">MMULT($D112:$G112,J$87:J$90)</f>
        <v>-1.6872039222777462E-2</v>
      </c>
      <c r="K112" s="11" cm="1">
        <f t="array" ref="K112">MMULT($D112:$G112,K$87:K$90)</f>
        <v>-5.1299238381369558E-2</v>
      </c>
      <c r="L112" s="11" cm="1">
        <f t="array" ref="L112">MMULT($D112:$G112,L$87:L$90)</f>
        <v>-5.1880040083905975E-2</v>
      </c>
      <c r="M112" s="11" cm="1">
        <f t="array" ref="M112">MMULT($D112:$G112,M$87:M$90)</f>
        <v>-6.4824190151213504E-2</v>
      </c>
      <c r="N112" s="11" cm="1">
        <f t="array" ref="N112">MMULT($D112:$G112,N$87:N$90)</f>
        <v>-5.0661005755525727E-2</v>
      </c>
      <c r="O112" s="11" cm="1">
        <f t="array" ref="O112">MMULT($D112:$G112,O$87:O$90)</f>
        <v>-2.3814962247326533E-2</v>
      </c>
      <c r="P112" s="11" cm="1">
        <f t="array" ref="P112">MMULT($D112:$G112,P$87:P$90)</f>
        <v>-4.393114448155562E-2</v>
      </c>
      <c r="Q112" s="11" cm="1">
        <f t="array" ref="Q112">MMULT($D112:$G112,Q$87:Q$90)</f>
        <v>-2.3545129708102824E-2</v>
      </c>
      <c r="R112" s="11" cm="1">
        <f t="array" ref="R112">MMULT($D112:$G112,R$87:R$90)</f>
        <v>-5.8832458258333088E-2</v>
      </c>
      <c r="S112" s="11" cm="1">
        <f t="array" ref="S112">MMULT($D112:$G112,S$87:S$90)</f>
        <v>-6.9485692374136515E-2</v>
      </c>
      <c r="T112" s="11" cm="1">
        <f t="array" ref="T112">MMULT($D112:$G112,T$87:T$90)</f>
        <v>-3.3278145070395004E-2</v>
      </c>
      <c r="U112" s="11" cm="1">
        <f t="array" ref="U112">MMULT($D112:$G112,U$87:U$90)</f>
        <v>-4.7473651469318666E-2</v>
      </c>
      <c r="V112" s="11" cm="1">
        <f t="array" ref="V112">MMULT($D112:$G112,V$87:V$90)</f>
        <v>-4.7534979105984712E-2</v>
      </c>
      <c r="W112" s="11" cm="1">
        <f t="array" ref="W112">MMULT($D112:$G112,W$87:W$90)</f>
        <v>-2.2951373539744892E-2</v>
      </c>
      <c r="X112" s="11" cm="1">
        <f t="array" ref="X112">MMULT($D112:$G112,X$87:X$90)</f>
        <v>-2.7526140234771797E-2</v>
      </c>
      <c r="Y112" s="11" cm="1">
        <f t="array" ref="Y112">MMULT($D112:$G112,Y$87:Y$90)</f>
        <v>-2.0532686213464209E-2</v>
      </c>
      <c r="Z112" s="11" cm="1">
        <f t="array" ref="Z112">MMULT($D112:$G112,Z$87:Z$90)</f>
        <v>-6.0643510624488542E-2</v>
      </c>
      <c r="AA112" s="11" cm="1">
        <f t="array" ref="AA112">MMULT($D112:$G112,AA$87:AA$90)</f>
        <v>-6.6725732133464041E-2</v>
      </c>
      <c r="AB112" s="11" cm="1">
        <f t="array" ref="AB112">MMULT($D112:$G112,AB$87:AB$90)</f>
        <v>-5.3738442194194595E-2</v>
      </c>
      <c r="AC112" s="11" cm="1">
        <f t="array" ref="AC112">MMULT($D112:$G112,AC$87:AC$90)</f>
        <v>-4.4364374623706258E-2</v>
      </c>
      <c r="AD112" s="11" cm="1">
        <f t="array" ref="AD112">MMULT($D112:$G112,AD$87:AD$90)</f>
        <v>-7.4629837954390169E-2</v>
      </c>
      <c r="AE112" s="11" cm="1">
        <f t="array" ref="AE112">MMULT($D112:$G112,AE$87:AE$90)</f>
        <v>-5.7819352463198623E-2</v>
      </c>
      <c r="AF112" s="11" cm="1">
        <f t="array" ref="AF112">MMULT($D112:$G112,AF$87:AF$90)</f>
        <v>-4.2475792725139627E-2</v>
      </c>
      <c r="AG112" s="11" cm="1">
        <f t="array" ref="AG112">MMULT($D112:$G112,AG$87:AG$90)</f>
        <v>-6.53464665847137E-2</v>
      </c>
      <c r="AH112" s="11" cm="1">
        <f t="array" ref="AH112">MMULT($D112:$G112,AH$87:AH$90)</f>
        <v>-4.5556152107567131E-2</v>
      </c>
      <c r="AI112" s="11" cm="1">
        <f t="array" ref="AI112">MMULT($D112:$G112,AI$87:AI$90)</f>
        <v>-6.113791367712447E-2</v>
      </c>
      <c r="AJ112" s="11" cm="1">
        <f t="array" ref="AJ112">MMULT($D112:$G112,AJ$87:AJ$90)</f>
        <v>-3.1880055439382354E-2</v>
      </c>
      <c r="AK112" s="11" cm="1">
        <f t="array" ref="AK112">MMULT($D112:$G112,AK$87:AK$90)</f>
        <v>-5.5017341388137811E-2</v>
      </c>
      <c r="AL112" s="11" cm="1">
        <f t="array" ref="AL112">MMULT($D112:$G112,AL$87:AL$90)</f>
        <v>-5.7738864879393961E-2</v>
      </c>
      <c r="AM112" s="11" cm="1">
        <f t="array" ref="AM112">MMULT($D112:$G112,AM$87:AM$90)</f>
        <v>-5.2301138411783861E-2</v>
      </c>
      <c r="AN112" s="11" cm="1">
        <f t="array" ref="AN112">MMULT($D112:$G112,AN$87:AN$90)</f>
        <v>-5.2140810213954794E-2</v>
      </c>
      <c r="AO112" s="11" cm="1">
        <f t="array" ref="AO112">MMULT($D112:$G112,AO$87:AO$90)</f>
        <v>-5.3710388579937214E-2</v>
      </c>
      <c r="AP112" s="11" cm="1">
        <f t="array" ref="AP112">MMULT($D112:$G112,AP$87:AP$90)</f>
        <v>-2.7116576024256035E-2</v>
      </c>
      <c r="AQ112" s="11" cm="1">
        <f t="array" ref="AQ112">MMULT($D112:$G112,AQ$87:AQ$90)</f>
        <v>-5.81213067820514E-2</v>
      </c>
      <c r="AR112" s="11" cm="1">
        <f t="array" ref="AR112">MMULT($D112:$G112,AR$87:AR$90)</f>
        <v>-3.1565489858009832E-2</v>
      </c>
      <c r="AS112" s="11" cm="1">
        <f t="array" ref="AS112">MMULT($D112:$G112,AS$87:AS$90)</f>
        <v>-7.2569389356340386E-2</v>
      </c>
      <c r="AT112" s="11" cm="1">
        <f t="array" ref="AT112">MMULT($D112:$G112,AT$87:AT$90)</f>
        <v>-3.9100226223140119E-2</v>
      </c>
      <c r="AU112" s="11" cm="1">
        <f t="array" ref="AU112">MMULT($D112:$G112,AU$87:AU$90)</f>
        <v>-3.546567436335956E-2</v>
      </c>
      <c r="AV112" s="11" cm="1">
        <f t="array" ref="AV112">MMULT($D112:$G112,AV$87:AV$90)</f>
        <v>-4.5615303919100791E-2</v>
      </c>
      <c r="AW112" s="11" cm="1">
        <f t="array" ref="AW112">MMULT($D112:$G112,AW$87:AW$90)</f>
        <v>-4.7433890605126771E-3</v>
      </c>
      <c r="AX112" s="11" cm="1">
        <f t="array" ref="AX112">MMULT($D112:$G112,AX$87:AX$90)</f>
        <v>-4.6561276236606393E-2</v>
      </c>
      <c r="AY112" s="11" cm="1">
        <f t="array" ref="AY112">MMULT($D112:$G112,AY$87:AY$90)</f>
        <v>-3.2937905149781066E-2</v>
      </c>
      <c r="AZ112" s="11" cm="1">
        <f t="array" ref="AZ112">MMULT($D112:$G112,AZ$87:AZ$90)</f>
        <v>-6.1042025782903436E-2</v>
      </c>
      <c r="BA112" s="11" cm="1">
        <f t="array" ref="BA112">MMULT($D112:$G112,BA$87:BA$90)</f>
        <v>-6.9098038084470043E-2</v>
      </c>
      <c r="BB112" s="11" cm="1">
        <f t="array" ref="BB112">MMULT($D112:$G112,BB$87:BB$90)</f>
        <v>-1.2506333292071906E-2</v>
      </c>
      <c r="BC112" s="11" cm="1">
        <f t="array" ref="BC112">MMULT($D112:$G112,BC$87:BC$90)</f>
        <v>-6.9029094881999736E-2</v>
      </c>
      <c r="BD112" s="11" cm="1">
        <f t="array" ref="BD112">MMULT($D112:$G112,BD$87:BD$90)</f>
        <v>-3.1617736853681327E-2</v>
      </c>
      <c r="BE112" s="11" cm="1">
        <f t="array" ref="BE112">MMULT($D112:$G112,BE$87:BE$90)</f>
        <v>-5.1139081462386389E-2</v>
      </c>
    </row>
    <row r="113" spans="3:57" x14ac:dyDescent="0.3">
      <c r="D113" s="9">
        <v>-3.9198662293395081E-2</v>
      </c>
      <c r="E113" s="9">
        <v>-4.4808172267688184E-2</v>
      </c>
      <c r="F113" s="9">
        <v>6.1217205068713199E-2</v>
      </c>
      <c r="G113" s="9">
        <v>0.14018691588785037</v>
      </c>
      <c r="H113" s="21" cm="1">
        <f t="array" ref="H113">MMULT($D113:$G113,H$87:H$90)</f>
        <v>2.9349321598870076E-2</v>
      </c>
      <c r="I113" s="11" cm="1">
        <f t="array" ref="I113">MMULT($D113:$G113,I$87:I$90)</f>
        <v>2.9480360151092865E-2</v>
      </c>
      <c r="J113" s="11" cm="1">
        <f t="array" ref="J113">MMULT($D113:$G113,J$87:J$90)</f>
        <v>-3.8253041670577321E-3</v>
      </c>
      <c r="K113" s="11" cm="1">
        <f t="array" ref="K113">MMULT($D113:$G113,K$87:K$90)</f>
        <v>5.9050235295471667E-2</v>
      </c>
      <c r="L113" s="11" cm="1">
        <f t="array" ref="L113">MMULT($D113:$G113,L$87:L$90)</f>
        <v>-6.7340442226624941E-3</v>
      </c>
      <c r="M113" s="11" cm="1">
        <f t="array" ref="M113">MMULT($D113:$G113,M$87:M$90)</f>
        <v>1.3778422963532367E-2</v>
      </c>
      <c r="N113" s="11" cm="1">
        <f t="array" ref="N113">MMULT($D113:$G113,N$87:N$90)</f>
        <v>3.1464401961472467E-2</v>
      </c>
      <c r="O113" s="11" cm="1">
        <f t="array" ref="O113">MMULT($D113:$G113,O$87:O$90)</f>
        <v>4.6064457001823822E-2</v>
      </c>
      <c r="P113" s="11" cm="1">
        <f t="array" ref="P113">MMULT($D113:$G113,P$87:P$90)</f>
        <v>1.4263018468413304E-2</v>
      </c>
      <c r="Q113" s="11" cm="1">
        <f t="array" ref="Q113">MMULT($D113:$G113,Q$87:Q$90)</f>
        <v>8.8155871131780552E-3</v>
      </c>
      <c r="R113" s="11" cm="1">
        <f t="array" ref="R113">MMULT($D113:$G113,R$87:R$90)</f>
        <v>1.1758651713923925E-2</v>
      </c>
      <c r="S113" s="11" cm="1">
        <f t="array" ref="S113">MMULT($D113:$G113,S$87:S$90)</f>
        <v>8.8990373734181533E-2</v>
      </c>
      <c r="T113" s="11" cm="1">
        <f t="array" ref="T113">MMULT($D113:$G113,T$87:T$90)</f>
        <v>3.9185935724903136E-3</v>
      </c>
      <c r="U113" s="11" cm="1">
        <f t="array" ref="U113">MMULT($D113:$G113,U$87:U$90)</f>
        <v>-2.5744654576867716E-2</v>
      </c>
      <c r="V113" s="11" cm="1">
        <f t="array" ref="V113">MMULT($D113:$G113,V$87:V$90)</f>
        <v>4.3636876825817038E-2</v>
      </c>
      <c r="W113" s="11" cm="1">
        <f t="array" ref="W113">MMULT($D113:$G113,W$87:W$90)</f>
        <v>-4.9959346482638563E-3</v>
      </c>
      <c r="X113" s="11" cm="1">
        <f t="array" ref="X113">MMULT($D113:$G113,X$87:X$90)</f>
        <v>3.6590458741943124E-2</v>
      </c>
      <c r="Y113" s="11" cm="1">
        <f t="array" ref="Y113">MMULT($D113:$G113,Y$87:Y$90)</f>
        <v>1.3846847971668422E-2</v>
      </c>
      <c r="Z113" s="11" cm="1">
        <f t="array" ref="Z113">MMULT($D113:$G113,Z$87:Z$90)</f>
        <v>8.7469488415122254E-3</v>
      </c>
      <c r="AA113" s="11" cm="1">
        <f t="array" ref="AA113">MMULT($D113:$G113,AA$87:AA$90)</f>
        <v>6.0464091952376009E-2</v>
      </c>
      <c r="AB113" s="11" cm="1">
        <f t="array" ref="AB113">MMULT($D113:$G113,AB$87:AB$90)</f>
        <v>6.757185529408892E-2</v>
      </c>
      <c r="AC113" s="11" cm="1">
        <f t="array" ref="AC113">MMULT($D113:$G113,AC$87:AC$90)</f>
        <v>6.1856188381127594E-2</v>
      </c>
      <c r="AD113" s="11" cm="1">
        <f t="array" ref="AD113">MMULT($D113:$G113,AD$87:AD$90)</f>
        <v>7.407716136807832E-2</v>
      </c>
      <c r="AE113" s="11" cm="1">
        <f t="array" ref="AE113">MMULT($D113:$G113,AE$87:AE$90)</f>
        <v>2.7539700547574333E-2</v>
      </c>
      <c r="AF113" s="11" cm="1">
        <f t="array" ref="AF113">MMULT($D113:$G113,AF$87:AF$90)</f>
        <v>7.0685998324119842E-2</v>
      </c>
      <c r="AG113" s="11" cm="1">
        <f t="array" ref="AG113">MMULT($D113:$G113,AG$87:AG$90)</f>
        <v>4.0356186937317538E-3</v>
      </c>
      <c r="AH113" s="11" cm="1">
        <f t="array" ref="AH113">MMULT($D113:$G113,AH$87:AH$90)</f>
        <v>-1.2519936613739336E-2</v>
      </c>
      <c r="AI113" s="11" cm="1">
        <f t="array" ref="AI113">MMULT($D113:$G113,AI$87:AI$90)</f>
        <v>-1.5747765615361061E-2</v>
      </c>
      <c r="AJ113" s="11" cm="1">
        <f t="array" ref="AJ113">MMULT($D113:$G113,AJ$87:AJ$90)</f>
        <v>2.6270842094591556E-2</v>
      </c>
      <c r="AK113" s="11" cm="1">
        <f t="array" ref="AK113">MMULT($D113:$G113,AK$87:AK$90)</f>
        <v>1.973160144044174E-3</v>
      </c>
      <c r="AL113" s="11" cm="1">
        <f t="array" ref="AL113">MMULT($D113:$G113,AL$87:AL$90)</f>
        <v>-2.2028121232289262E-2</v>
      </c>
      <c r="AM113" s="11" cm="1">
        <f t="array" ref="AM113">MMULT($D113:$G113,AM$87:AM$90)</f>
        <v>6.3204473563800545E-2</v>
      </c>
      <c r="AN113" s="11" cm="1">
        <f t="array" ref="AN113">MMULT($D113:$G113,AN$87:AN$90)</f>
        <v>6.120468443179216E-2</v>
      </c>
      <c r="AO113" s="11" cm="1">
        <f t="array" ref="AO113">MMULT($D113:$G113,AO$87:AO$90)</f>
        <v>5.38866893580515E-2</v>
      </c>
      <c r="AP113" s="11" cm="1">
        <f t="array" ref="AP113">MMULT($D113:$G113,AP$87:AP$90)</f>
        <v>3.0022459940734943E-2</v>
      </c>
      <c r="AQ113" s="11" cm="1">
        <f t="array" ref="AQ113">MMULT($D113:$G113,AQ$87:AQ$90)</f>
        <v>6.0357472190844405E-2</v>
      </c>
      <c r="AR113" s="11" cm="1">
        <f t="array" ref="AR113">MMULT($D113:$G113,AR$87:AR$90)</f>
        <v>2.9082998050677118E-2</v>
      </c>
      <c r="AS113" s="11" cm="1">
        <f t="array" ref="AS113">MMULT($D113:$G113,AS$87:AS$90)</f>
        <v>3.995838721892616E-2</v>
      </c>
      <c r="AT113" s="11" cm="1">
        <f t="array" ref="AT113">MMULT($D113:$G113,AT$87:AT$90)</f>
        <v>5.5206581436390567E-2</v>
      </c>
      <c r="AU113" s="11" cm="1">
        <f t="array" ref="AU113">MMULT($D113:$G113,AU$87:AU$90)</f>
        <v>1.9830826729264138E-2</v>
      </c>
      <c r="AV113" s="11" cm="1">
        <f t="array" ref="AV113">MMULT($D113:$G113,AV$87:AV$90)</f>
        <v>2.1268123204626517E-2</v>
      </c>
      <c r="AW113" s="11" cm="1">
        <f t="array" ref="AW113">MMULT($D113:$G113,AW$87:AW$90)</f>
        <v>-1.1100570401559892E-2</v>
      </c>
      <c r="AX113" s="11" cm="1">
        <f t="array" ref="AX113">MMULT($D113:$G113,AX$87:AX$90)</f>
        <v>4.8581209641686759E-2</v>
      </c>
      <c r="AY113" s="11" cm="1">
        <f t="array" ref="AY113">MMULT($D113:$G113,AY$87:AY$90)</f>
        <v>1.7511172730295444E-2</v>
      </c>
      <c r="AZ113" s="11" cm="1">
        <f t="array" ref="AZ113">MMULT($D113:$G113,AZ$87:AZ$90)</f>
        <v>9.9109816200716461E-3</v>
      </c>
      <c r="BA113" s="11" cm="1">
        <f t="array" ref="BA113">MMULT($D113:$G113,BA$87:BA$90)</f>
        <v>7.2656090275003915E-2</v>
      </c>
      <c r="BB113" s="11" cm="1">
        <f t="array" ref="BB113">MMULT($D113:$G113,BB$87:BB$90)</f>
        <v>9.7122590651580777E-3</v>
      </c>
      <c r="BC113" s="11" cm="1">
        <f t="array" ref="BC113">MMULT($D113:$G113,BC$87:BC$90)</f>
        <v>7.6523853996883301E-2</v>
      </c>
      <c r="BD113" s="11" cm="1">
        <f t="array" ref="BD113">MMULT($D113:$G113,BD$87:BD$90)</f>
        <v>6.7436960168729354E-2</v>
      </c>
      <c r="BE113" s="11" cm="1">
        <f t="array" ref="BE113">MMULT($D113:$G113,BE$87:BE$90)</f>
        <v>6.3100618519220553E-2</v>
      </c>
    </row>
    <row r="114" spans="3:57" x14ac:dyDescent="0.3">
      <c r="D114" s="9">
        <v>3.1861842765822157E-2</v>
      </c>
      <c r="E114" s="9">
        <v>7.6927751108950559E-2</v>
      </c>
      <c r="F114" s="9">
        <v>1.27256418881041E-2</v>
      </c>
      <c r="G114" s="9">
        <v>-3.688524590163933E-2</v>
      </c>
      <c r="H114" s="21" cm="1">
        <f t="array" ref="H114">MMULT($D114:$G114,H$87:H$90)</f>
        <v>2.1157497465309372E-2</v>
      </c>
      <c r="I114" s="11" cm="1">
        <f t="array" ref="I114">MMULT($D114:$G114,I$87:I$90)</f>
        <v>2.6760222933587402E-2</v>
      </c>
      <c r="J114" s="11" cm="1">
        <f t="array" ref="J114">MMULT($D114:$G114,J$87:J$90)</f>
        <v>4.6914733709644933E-2</v>
      </c>
      <c r="K114" s="11" cm="1">
        <f t="array" ref="K114">MMULT($D114:$G114,K$87:K$90)</f>
        <v>4.9901098027891836E-3</v>
      </c>
      <c r="L114" s="11" cm="1">
        <f t="array" ref="L114">MMULT($D114:$G114,L$87:L$90)</f>
        <v>3.1561640889298408E-2</v>
      </c>
      <c r="M114" s="11" cm="1">
        <f t="array" ref="M114">MMULT($D114:$G114,M$87:M$90)</f>
        <v>1.8968587072664786E-2</v>
      </c>
      <c r="N114" s="11" cm="1">
        <f t="array" ref="N114">MMULT($D114:$G114,N$87:N$90)</f>
        <v>1.9256813510549461E-2</v>
      </c>
      <c r="O114" s="11" cm="1">
        <f t="array" ref="O114">MMULT($D114:$G114,O$87:O$90)</f>
        <v>2.1452546298274047E-2</v>
      </c>
      <c r="P114" s="11" cm="1">
        <f t="array" ref="P114">MMULT($D114:$G114,P$87:P$90)</f>
        <v>2.3396113800398501E-2</v>
      </c>
      <c r="Q114" s="11" cm="1">
        <f t="array" ref="Q114">MMULT($D114:$G114,Q$87:Q$90)</f>
        <v>3.7346657930971701E-2</v>
      </c>
      <c r="R114" s="11" cm="1">
        <f t="array" ref="R114">MMULT($D114:$G114,R$87:R$90)</f>
        <v>2.1730991096336291E-2</v>
      </c>
      <c r="S114" s="11" cm="1">
        <f t="array" ref="S114">MMULT($D114:$G114,S$87:S$90)</f>
        <v>-1.1341115492292615E-2</v>
      </c>
      <c r="T114" s="11" cm="1">
        <f t="array" ref="T114">MMULT($D114:$G114,T$87:T$90)</f>
        <v>3.5421838569699604E-2</v>
      </c>
      <c r="U114" s="11" cm="1">
        <f t="array" ref="U114">MMULT($D114:$G114,U$87:U$90)</f>
        <v>4.0003121189748164E-2</v>
      </c>
      <c r="V114" s="11" cm="1">
        <f t="array" ref="V114">MMULT($D114:$G114,V$87:V$90)</f>
        <v>1.5280700700366637E-2</v>
      </c>
      <c r="W114" s="11" cm="1">
        <f t="array" ref="W114">MMULT($D114:$G114,W$87:W$90)</f>
        <v>4.2623439282797819E-2</v>
      </c>
      <c r="X114" s="11" cm="1">
        <f t="array" ref="X114">MMULT($D114:$G114,X$87:X$90)</f>
        <v>2.1329851058557198E-2</v>
      </c>
      <c r="Y114" s="11" cm="1">
        <f t="array" ref="Y114">MMULT($D114:$G114,Y$87:Y$90)</f>
        <v>3.8855846938018836E-2</v>
      </c>
      <c r="Z114" s="11" cm="1">
        <f t="array" ref="Z114">MMULT($D114:$G114,Z$87:Z$90)</f>
        <v>2.0393617123084816E-2</v>
      </c>
      <c r="AA114" s="11" cm="1">
        <f t="array" ref="AA114">MMULT($D114:$G114,AA$87:AA$90)</f>
        <v>1.492356699818443E-3</v>
      </c>
      <c r="AB114" s="11" cm="1">
        <f t="array" ref="AB114">MMULT($D114:$G114,AB$87:AB$90)</f>
        <v>3.7837417659725529E-3</v>
      </c>
      <c r="AC114" s="11" cm="1">
        <f t="array" ref="AC114">MMULT($D114:$G114,AC$87:AC$90)</f>
        <v>6.5624522537663012E-3</v>
      </c>
      <c r="AD114" s="11" cm="1">
        <f t="array" ref="AD114">MMULT($D114:$G114,AD$87:AD$90)</f>
        <v>-6.9827189052231592E-3</v>
      </c>
      <c r="AE114" s="11" cm="1">
        <f t="array" ref="AE114">MMULT($D114:$G114,AE$87:AE$90)</f>
        <v>1.5942390344008447E-2</v>
      </c>
      <c r="AF114" s="11" cm="1">
        <f t="array" ref="AF114">MMULT($D114:$G114,AF$87:AF$90)</f>
        <v>2.0771298289783881E-3</v>
      </c>
      <c r="AG114" s="11" cm="1">
        <f t="array" ref="AG114">MMULT($D114:$G114,AG$87:AG$90)</f>
        <v>2.1635433455873793E-2</v>
      </c>
      <c r="AH114" s="11" cm="1">
        <f t="array" ref="AH114">MMULT($D114:$G114,AH$87:AH$90)</f>
        <v>3.5234486195721726E-2</v>
      </c>
      <c r="AI114" s="11" cm="1">
        <f t="array" ref="AI114">MMULT($D114:$G114,AI$87:AI$90)</f>
        <v>3.0254945219545772E-2</v>
      </c>
      <c r="AJ114" s="11" cm="1">
        <f t="array" ref="AJ114">MMULT($D114:$G114,AJ$87:AJ$90)</f>
        <v>2.7632336355745291E-2</v>
      </c>
      <c r="AK114" s="11" cm="1">
        <f t="array" ref="AK114">MMULT($D114:$G114,AK$87:AK$90)</f>
        <v>2.6503857088791771E-2</v>
      </c>
      <c r="AL114" s="11" cm="1">
        <f t="array" ref="AL114">MMULT($D114:$G114,AL$87:AL$90)</f>
        <v>3.3752034154961558E-2</v>
      </c>
      <c r="AM114" s="11" cm="1">
        <f t="array" ref="AM114">MMULT($D114:$G114,AM$87:AM$90)</f>
        <v>2.2234451900225247E-3</v>
      </c>
      <c r="AN114" s="11" cm="1">
        <f t="array" ref="AN114">MMULT($D114:$G114,AN$87:AN$90)</f>
        <v>5.9452686393693319E-3</v>
      </c>
      <c r="AO114" s="11" cm="1">
        <f t="array" ref="AO114">MMULT($D114:$G114,AO$87:AO$90)</f>
        <v>1.0255336924932204E-2</v>
      </c>
      <c r="AP114" s="11" cm="1">
        <f t="array" ref="AP114">MMULT($D114:$G114,AP$87:AP$90)</f>
        <v>2.4117181615067724E-2</v>
      </c>
      <c r="AQ114" s="11" cm="1">
        <f t="array" ref="AQ114">MMULT($D114:$G114,AQ$87:AQ$90)</f>
        <v>1.7555550248367861E-3</v>
      </c>
      <c r="AR114" s="11" cm="1">
        <f t="array" ref="AR114">MMULT($D114:$G114,AR$87:AR$90)</f>
        <v>2.1574803115205883E-2</v>
      </c>
      <c r="AS114" s="11" cm="1">
        <f t="array" ref="AS114">MMULT($D114:$G114,AS$87:AS$90)</f>
        <v>5.5827364643917885E-3</v>
      </c>
      <c r="AT114" s="11" cm="1">
        <f t="array" ref="AT114">MMULT($D114:$G114,AT$87:AT$90)</f>
        <v>1.3908558892179816E-2</v>
      </c>
      <c r="AU114" s="11" cm="1">
        <f t="array" ref="AU114">MMULT($D114:$G114,AU$87:AU$90)</f>
        <v>3.1584090948014988E-2</v>
      </c>
      <c r="AV114" s="11" cm="1">
        <f t="array" ref="AV114">MMULT($D114:$G114,AV$87:AV$90)</f>
        <v>2.6302761819681629E-2</v>
      </c>
      <c r="AW114" s="11" cm="1">
        <f t="array" ref="AW114">MMULT($D114:$G114,AW$87:AW$90)</f>
        <v>5.5365195069866167E-2</v>
      </c>
      <c r="AX114" s="11" cm="1">
        <f t="array" ref="AX114">MMULT($D114:$G114,AX$87:AX$90)</f>
        <v>1.6794664705488436E-2</v>
      </c>
      <c r="AY114" s="11" cm="1">
        <f t="array" ref="AY114">MMULT($D114:$G114,AY$87:AY$90)</f>
        <v>3.3948241326234876E-2</v>
      </c>
      <c r="AZ114" s="11" cm="1">
        <f t="array" ref="AZ114">MMULT($D114:$G114,AZ$87:AZ$90)</f>
        <v>2.0665078071757798E-2</v>
      </c>
      <c r="BA114" s="11" cm="1">
        <f t="array" ref="BA114">MMULT($D114:$G114,BA$87:BA$90)</f>
        <v>-5.892202081760417E-3</v>
      </c>
      <c r="BB114" s="11" cm="1">
        <f t="array" ref="BB114">MMULT($D114:$G114,BB$87:BB$90)</f>
        <v>4.1154822370734694E-2</v>
      </c>
      <c r="BC114" s="11" cm="1">
        <f t="array" ref="BC114">MMULT($D114:$G114,BC$87:BC$90)</f>
        <v>-6.4105914593864839E-3</v>
      </c>
      <c r="BD114" s="11" cm="1">
        <f t="array" ref="BD114">MMULT($D114:$G114,BD$87:BD$90)</f>
        <v>7.6879177021993376E-3</v>
      </c>
      <c r="BE114" s="11" cm="1">
        <f t="array" ref="BE114">MMULT($D114:$G114,BE$87:BE$90)</f>
        <v>5.3287987522111085E-3</v>
      </c>
    </row>
    <row r="115" spans="3:57" x14ac:dyDescent="0.3">
      <c r="D115" s="9">
        <v>-9.9867016963445909E-2</v>
      </c>
      <c r="E115" s="9">
        <v>1.8224905490041188E-2</v>
      </c>
      <c r="F115" s="9">
        <v>-2.0703016883476422E-2</v>
      </c>
      <c r="G115" s="9">
        <v>0.19574468085106389</v>
      </c>
      <c r="H115" s="21" cm="1">
        <f t="array" ref="H115">MMULT($D115:$G115,H$87:H$90)</f>
        <v>2.3349888123545687E-2</v>
      </c>
      <c r="I115" s="11" cm="1">
        <f t="array" ref="I115">MMULT($D115:$G115,I$87:I$90)</f>
        <v>4.2137161042711445E-2</v>
      </c>
      <c r="J115" s="11" cm="1">
        <f t="array" ref="J115">MMULT($D115:$G115,J$87:J$90)</f>
        <v>1.1326647891451044E-2</v>
      </c>
      <c r="K115" s="11" cm="1">
        <f t="array" ref="K115">MMULT($D115:$G115,K$87:K$90)</f>
        <v>3.9734820408456009E-2</v>
      </c>
      <c r="L115" s="11" cm="1">
        <f t="array" ref="L115">MMULT($D115:$G115,L$87:L$90)</f>
        <v>-2.3982842505444336E-2</v>
      </c>
      <c r="M115" s="11" cm="1">
        <f t="array" ref="M115">MMULT($D115:$G115,M$87:M$90)</f>
        <v>6.99480323023359E-3</v>
      </c>
      <c r="N115" s="11" cm="1">
        <f t="array" ref="N115">MMULT($D115:$G115,N$87:N$90)</f>
        <v>4.7152322207048972E-2</v>
      </c>
      <c r="O115" s="11" cm="1">
        <f t="array" ref="O115">MMULT($D115:$G115,O$87:O$90)</f>
        <v>3.0367210756769045E-2</v>
      </c>
      <c r="P115" s="11" cm="1">
        <f t="array" ref="P115">MMULT($D115:$G115,P$87:P$90)</f>
        <v>-3.7686198393387708E-2</v>
      </c>
      <c r="Q115" s="11" cm="1">
        <f t="array" ref="Q115">MMULT($D115:$G115,Q$87:Q$90)</f>
        <v>1.8057426662144056E-3</v>
      </c>
      <c r="R115" s="11" cm="1">
        <f t="array" ref="R115">MMULT($D115:$G115,R$87:R$90)</f>
        <v>-3.6496520138309951E-4</v>
      </c>
      <c r="S115" s="11" cm="1">
        <f t="array" ref="S115">MMULT($D115:$G115,S$87:S$90)</f>
        <v>0.10671824641007541</v>
      </c>
      <c r="T115" s="11" cm="1">
        <f t="array" ref="T115">MMULT($D115:$G115,T$87:T$90)</f>
        <v>-3.6279265344426499E-3</v>
      </c>
      <c r="U115" s="11" cm="1">
        <f t="array" ref="U115">MMULT($D115:$G115,U$87:U$90)</f>
        <v>-5.5355533105057815E-2</v>
      </c>
      <c r="V115" s="11" cm="1">
        <f t="array" ref="V115">MMULT($D115:$G115,V$87:V$90)</f>
        <v>5.5770923961287765E-2</v>
      </c>
      <c r="W115" s="11" cm="1">
        <f t="array" ref="W115">MMULT($D115:$G115,W$87:W$90)</f>
        <v>-1.8783606577286387E-2</v>
      </c>
      <c r="X115" s="11" cm="1">
        <f t="array" ref="X115">MMULT($D115:$G115,X$87:X$90)</f>
        <v>-9.6868676766222132E-3</v>
      </c>
      <c r="Y115" s="11" cm="1">
        <f t="array" ref="Y115">MMULT($D115:$G115,Y$87:Y$90)</f>
        <v>3.5757680688435475E-2</v>
      </c>
      <c r="Z115" s="11" cm="1">
        <f t="array" ref="Z115">MMULT($D115:$G115,Z$87:Z$90)</f>
        <v>-2.5990485089918969E-2</v>
      </c>
      <c r="AA115" s="11" cm="1">
        <f t="array" ref="AA115">MMULT($D115:$G115,AA$87:AA$90)</f>
        <v>8.0509554560771898E-2</v>
      </c>
      <c r="AB115" s="11" cm="1">
        <f t="array" ref="AB115">MMULT($D115:$G115,AB$87:AB$90)</f>
        <v>8.7781715091268961E-2</v>
      </c>
      <c r="AC115" s="11" cm="1">
        <f t="array" ref="AC115">MMULT($D115:$G115,AC$87:AC$90)</f>
        <v>4.1991454888584842E-2</v>
      </c>
      <c r="AD115" s="11" cm="1">
        <f t="array" ref="AD115">MMULT($D115:$G115,AD$87:AD$90)</f>
        <v>9.6267025076580082E-2</v>
      </c>
      <c r="AE115" s="11" cm="1">
        <f t="array" ref="AE115">MMULT($D115:$G115,AE$87:AE$90)</f>
        <v>1.7858664347539271E-2</v>
      </c>
      <c r="AF115" s="11" cm="1">
        <f t="array" ref="AF115">MMULT($D115:$G115,AF$87:AF$90)</f>
        <v>3.0393320164257224E-2</v>
      </c>
      <c r="AG115" s="11" cm="1">
        <f t="array" ref="AG115">MMULT($D115:$G115,AG$87:AG$90)</f>
        <v>-1.5919307930114444E-2</v>
      </c>
      <c r="AH115" s="11" cm="1">
        <f t="array" ref="AH115">MMULT($D115:$G115,AH$87:AH$90)</f>
        <v>-4.4290928514927552E-2</v>
      </c>
      <c r="AI115" s="11" cm="1">
        <f t="array" ref="AI115">MMULT($D115:$G115,AI$87:AI$90)</f>
        <v>-4.8757604589243206E-2</v>
      </c>
      <c r="AJ115" s="11" cm="1">
        <f t="array" ref="AJ115">MMULT($D115:$G115,AJ$87:AJ$90)</f>
        <v>2.7402548542840542E-2</v>
      </c>
      <c r="AK115" s="11" cm="1">
        <f t="array" ref="AK115">MMULT($D115:$G115,AK$87:AK$90)</f>
        <v>-1.8807543080243613E-2</v>
      </c>
      <c r="AL115" s="11" cm="1">
        <f t="array" ref="AL115">MMULT($D115:$G115,AL$87:AL$90)</f>
        <v>-5.9898644153389802E-2</v>
      </c>
      <c r="AM115" s="11" cm="1">
        <f t="array" ref="AM115">MMULT($D115:$G115,AM$87:AM$90)</f>
        <v>3.5435544624636536E-2</v>
      </c>
      <c r="AN115" s="11" cm="1">
        <f t="array" ref="AN115">MMULT($D115:$G115,AN$87:AN$90)</f>
        <v>6.8486951902597612E-2</v>
      </c>
      <c r="AO115" s="11" cm="1">
        <f t="array" ref="AO115">MMULT($D115:$G115,AO$87:AO$90)</f>
        <v>8.5413888296609772E-2</v>
      </c>
      <c r="AP115" s="11" cm="1">
        <f t="array" ref="AP115">MMULT($D115:$G115,AP$87:AP$90)</f>
        <v>-1.6678810339015419E-2</v>
      </c>
      <c r="AQ115" s="11" cm="1">
        <f t="array" ref="AQ115">MMULT($D115:$G115,AQ$87:AQ$90)</f>
        <v>4.1078517077741725E-2</v>
      </c>
      <c r="AR115" s="11" cm="1">
        <f t="array" ref="AR115">MMULT($D115:$G115,AR$87:AR$90)</f>
        <v>-3.1850177496679198E-2</v>
      </c>
      <c r="AS115" s="11" cm="1">
        <f t="array" ref="AS115">MMULT($D115:$G115,AS$87:AS$90)</f>
        <v>3.6723344956884195E-2</v>
      </c>
      <c r="AT115" s="11" cm="1">
        <f t="array" ref="AT115">MMULT($D115:$G115,AT$87:AT$90)</f>
        <v>6.6893103595003514E-2</v>
      </c>
      <c r="AU115" s="11" cm="1">
        <f t="array" ref="AU115">MMULT($D115:$G115,AU$87:AU$90)</f>
        <v>5.5020648480884435E-2</v>
      </c>
      <c r="AV115" s="11" cm="1">
        <f t="array" ref="AV115">MMULT($D115:$G115,AV$87:AV$90)</f>
        <v>4.821153873622884E-2</v>
      </c>
      <c r="AW115" s="11" cm="1">
        <f t="array" ref="AW115">MMULT($D115:$G115,AW$87:AW$90)</f>
        <v>1.2542248316435228E-2</v>
      </c>
      <c r="AX115" s="11" cm="1">
        <f t="array" ref="AX115">MMULT($D115:$G115,AX$87:AX$90)</f>
        <v>9.9220699305037727E-2</v>
      </c>
      <c r="AY115" s="11" cm="1">
        <f t="array" ref="AY115">MMULT($D115:$G115,AY$87:AY$90)</f>
        <v>5.7887631477933112E-2</v>
      </c>
      <c r="AZ115" s="11" cm="1">
        <f t="array" ref="AZ115">MMULT($D115:$G115,AZ$87:AZ$90)</f>
        <v>-1.3740226866607176E-2</v>
      </c>
      <c r="BA115" s="11" cm="1">
        <f t="array" ref="BA115">MMULT($D115:$G115,BA$87:BA$90)</f>
        <v>7.4162716288837E-2</v>
      </c>
      <c r="BB115" s="11" cm="1">
        <f t="array" ref="BB115">MMULT($D115:$G115,BB$87:BB$90)</f>
        <v>1.0567749105716995E-4</v>
      </c>
      <c r="BC115" s="11" cm="1">
        <f t="array" ref="BC115">MMULT($D115:$G115,BC$87:BC$90)</f>
        <v>9.0583941177605265E-2</v>
      </c>
      <c r="BD115" s="11" cm="1">
        <f t="array" ref="BD115">MMULT($D115:$G115,BD$87:BD$90)</f>
        <v>2.6958063456133576E-2</v>
      </c>
      <c r="BE115" s="11" cm="1">
        <f t="array" ref="BE115">MMULT($D115:$G115,BE$87:BE$90)</f>
        <v>6.734929734097217E-2</v>
      </c>
    </row>
    <row r="116" spans="3:57" x14ac:dyDescent="0.3">
      <c r="D116" s="9">
        <v>-2.0358893052752847E-2</v>
      </c>
      <c r="E116" s="9">
        <v>-5.1534966197496201E-3</v>
      </c>
      <c r="F116" s="9">
        <v>-3.2615454185744186E-2</v>
      </c>
      <c r="G116" s="9">
        <v>1.0676156583629748E-2</v>
      </c>
      <c r="H116" s="21" cm="1">
        <f t="array" ref="H116">MMULT($D116:$G116,H$87:H$90)</f>
        <v>-1.1862921818654226E-2</v>
      </c>
      <c r="I116" s="11" cm="1">
        <f t="array" ref="I116">MMULT($D116:$G116,I$87:I$90)</f>
        <v>-9.24749365598403E-3</v>
      </c>
      <c r="J116" s="11" cm="1">
        <f t="array" ref="J116">MMULT($D116:$G116,J$87:J$90)</f>
        <v>-1.1672703043883242E-2</v>
      </c>
      <c r="K116" s="11" cm="1">
        <f t="array" ref="K116">MMULT($D116:$G116,K$87:K$90)</f>
        <v>-1.3245334883808307E-2</v>
      </c>
      <c r="L116" s="11" cm="1">
        <f t="array" ref="L116">MMULT($D116:$G116,L$87:L$90)</f>
        <v>-1.3669955895981242E-2</v>
      </c>
      <c r="M116" s="11" cm="1">
        <f t="array" ref="M116">MMULT($D116:$G116,M$87:M$90)</f>
        <v>-9.0235206627812068E-3</v>
      </c>
      <c r="N116" s="11" cm="1">
        <f t="array" ref="N116">MMULT($D116:$G116,N$87:N$90)</f>
        <v>-5.8574009819961229E-3</v>
      </c>
      <c r="O116" s="11" cm="1">
        <f t="array" ref="O116">MMULT($D116:$G116,O$87:O$90)</f>
        <v>-1.6826895143531587E-2</v>
      </c>
      <c r="P116" s="11" cm="1">
        <f t="array" ref="P116">MMULT($D116:$G116,P$87:P$90)</f>
        <v>-2.2401288280954633E-2</v>
      </c>
      <c r="Q116" s="11" cm="1">
        <f t="array" ref="Q116">MMULT($D116:$G116,Q$87:Q$90)</f>
        <v>-1.546310602041617E-2</v>
      </c>
      <c r="R116" s="11" cm="1">
        <f t="array" ref="R116">MMULT($D116:$G116,R$87:R$90)</f>
        <v>-1.1174828686553739E-2</v>
      </c>
      <c r="S116" s="11" cm="1">
        <f t="array" ref="S116">MMULT($D116:$G116,S$87:S$90)</f>
        <v>-1.6608212820012347E-3</v>
      </c>
      <c r="T116" s="11" cm="1">
        <f t="array" ref="T116">MMULT($D116:$G116,T$87:T$90)</f>
        <v>-1.4168198439914173E-2</v>
      </c>
      <c r="U116" s="11" cm="1">
        <f t="array" ref="U116">MMULT($D116:$G116,U$87:U$90)</f>
        <v>-1.741588627095976E-2</v>
      </c>
      <c r="V116" s="11" cm="1">
        <f t="array" ref="V116">MMULT($D116:$G116,V$87:V$90)</f>
        <v>-6.9560440436970215E-3</v>
      </c>
      <c r="W116" s="11" cm="1">
        <f t="array" ref="W116">MMULT($D116:$G116,W$87:W$90)</f>
        <v>-1.7288626368244474E-2</v>
      </c>
      <c r="X116" s="11" cm="1">
        <f t="array" ref="X116">MMULT($D116:$G116,X$87:X$90)</f>
        <v>-2.329881136989732E-2</v>
      </c>
      <c r="Y116" s="11" cm="1">
        <f t="array" ref="Y116">MMULT($D116:$G116,Y$87:Y$90)</f>
        <v>-9.32480734581719E-3</v>
      </c>
      <c r="Z116" s="11" cm="1">
        <f t="array" ref="Z116">MMULT($D116:$G116,Z$87:Z$90)</f>
        <v>-1.6044072858567959E-2</v>
      </c>
      <c r="AA116" s="11" cm="1">
        <f t="array" ref="AA116">MMULT($D116:$G116,AA$87:AA$90)</f>
        <v>-1.9850214659091498E-3</v>
      </c>
      <c r="AB116" s="11" cm="1">
        <f t="array" ref="AB116">MMULT($D116:$G116,AB$87:AB$90)</f>
        <v>-3.8288088336348811E-3</v>
      </c>
      <c r="AC116" s="11" cm="1">
        <f t="array" ref="AC116">MMULT($D116:$G116,AC$87:AC$90)</f>
        <v>-1.4388325730752244E-2</v>
      </c>
      <c r="AD116" s="11" cm="1">
        <f t="array" ref="AD116">MMULT($D116:$G116,AD$87:AD$90)</f>
        <v>-8.9411422282115703E-5</v>
      </c>
      <c r="AE116" s="11" cm="1">
        <f t="array" ref="AE116">MMULT($D116:$G116,AE$87:AE$90)</f>
        <v>-1.0543772389340223E-2</v>
      </c>
      <c r="AF116" s="11" cm="1">
        <f t="array" ref="AF116">MMULT($D116:$G116,AF$87:AF$90)</f>
        <v>-1.9154063192817965E-2</v>
      </c>
      <c r="AG116" s="11" cm="1">
        <f t="array" ref="AG116">MMULT($D116:$G116,AG$87:AG$90)</f>
        <v>-1.206002548055128E-2</v>
      </c>
      <c r="AH116" s="11" cm="1">
        <f t="array" ref="AH116">MMULT($D116:$G116,AH$87:AH$90)</f>
        <v>-1.7999567751984861E-2</v>
      </c>
      <c r="AI116" s="11" cm="1">
        <f t="array" ref="AI116">MMULT($D116:$G116,AI$87:AI$90)</f>
        <v>-1.5943495973511603E-2</v>
      </c>
      <c r="AJ116" s="11" cm="1">
        <f t="array" ref="AJ116">MMULT($D116:$G116,AJ$87:AJ$90)</f>
        <v>-1.2091479165748795E-2</v>
      </c>
      <c r="AK116" s="11" cm="1">
        <f t="array" ref="AK116">MMULT($D116:$G116,AK$87:AK$90)</f>
        <v>-1.385711936479201E-2</v>
      </c>
      <c r="AL116" s="11" cm="1">
        <f t="array" ref="AL116">MMULT($D116:$G116,AL$87:AL$90)</f>
        <v>-1.7653511270217373E-2</v>
      </c>
      <c r="AM116" s="11" cm="1">
        <f t="array" ref="AM116">MMULT($D116:$G116,AM$87:AM$90)</f>
        <v>-1.4937227161596362E-2</v>
      </c>
      <c r="AN116" s="11" cm="1">
        <f t="array" ref="AN116">MMULT($D116:$G116,AN$87:AN$90)</f>
        <v>-7.0843553898003479E-3</v>
      </c>
      <c r="AO116" s="11" cm="1">
        <f t="array" ref="AO116">MMULT($D116:$G116,AO$87:AO$90)</f>
        <v>-1.4838311557880401E-3</v>
      </c>
      <c r="AP116" s="11" cm="1">
        <f t="array" ref="AP116">MMULT($D116:$G116,AP$87:AP$90)</f>
        <v>-2.355491376064368E-2</v>
      </c>
      <c r="AQ116" s="11" cm="1">
        <f t="array" ref="AQ116">MMULT($D116:$G116,AQ$87:AQ$90)</f>
        <v>-1.2174039739744458E-2</v>
      </c>
      <c r="AR116" s="11" cm="1">
        <f t="array" ref="AR116">MMULT($D116:$G116,AR$87:AR$90)</f>
        <v>-2.6098901413322412E-2</v>
      </c>
      <c r="AS116" s="11" cm="1">
        <f t="array" ref="AS116">MMULT($D116:$G116,AS$87:AS$90)</f>
        <v>-6.6483026416965423E-3</v>
      </c>
      <c r="AT116" s="11" cm="1">
        <f t="array" ref="AT116">MMULT($D116:$G116,AT$87:AT$90)</f>
        <v>-8.1750041660740846E-3</v>
      </c>
      <c r="AU116" s="11" cm="1">
        <f t="array" ref="AU116">MMULT($D116:$G116,AU$87:AU$90)</f>
        <v>-3.9557265418387706E-3</v>
      </c>
      <c r="AV116" s="11" cm="1">
        <f t="array" ref="AV116">MMULT($D116:$G116,AV$87:AV$90)</f>
        <v>-4.2419894893173035E-3</v>
      </c>
      <c r="AW116" s="11" cm="1">
        <f t="array" ref="AW116">MMULT($D116:$G116,AW$87:AW$90)</f>
        <v>-1.1720972581873367E-2</v>
      </c>
      <c r="AX116" s="11" cm="1">
        <f t="array" ref="AX116">MMULT($D116:$G116,AX$87:AX$90)</f>
        <v>1.6550571163804714E-3</v>
      </c>
      <c r="AY116" s="11" cm="1">
        <f t="array" ref="AY116">MMULT($D116:$G116,AY$87:AY$90)</f>
        <v>-3.2069051770667774E-3</v>
      </c>
      <c r="AZ116" s="11" cm="1">
        <f t="array" ref="AZ116">MMULT($D116:$G116,AZ$87:AZ$90)</f>
        <v>-1.3464839912027802E-2</v>
      </c>
      <c r="BA116" s="11" cm="1">
        <f t="array" ref="BA116">MMULT($D116:$G116,BA$87:BA$90)</f>
        <v>-5.6227183919108628E-3</v>
      </c>
      <c r="BB116" s="11" cm="1">
        <f t="array" ref="BB116">MMULT($D116:$G116,BB$87:BB$90)</f>
        <v>-1.7724203371475129E-2</v>
      </c>
      <c r="BC116" s="11" cm="1">
        <f t="array" ref="BC116">MMULT($D116:$G116,BC$87:BC$90)</f>
        <v>-2.7437371637178947E-3</v>
      </c>
      <c r="BD116" s="11" cm="1">
        <f t="array" ref="BD116">MMULT($D116:$G116,BD$87:BD$90)</f>
        <v>-2.090546328695303E-2</v>
      </c>
      <c r="BE116" s="11" cm="1">
        <f t="array" ref="BE116">MMULT($D116:$G116,BE$87:BE$90)</f>
        <v>-7.8937051474821454E-3</v>
      </c>
    </row>
    <row r="117" spans="3:57" x14ac:dyDescent="0.3">
      <c r="D117" s="9">
        <v>-5.5320557619450539E-2</v>
      </c>
      <c r="E117" s="9">
        <v>-1.1251601403665212E-2</v>
      </c>
      <c r="F117" s="9">
        <v>-1.5659693817926756E-2</v>
      </c>
      <c r="G117" s="9">
        <v>1.7605633802816989E-2</v>
      </c>
      <c r="H117" s="21" cm="1">
        <f t="array" ref="H117">MMULT($D117:$G117,H$87:H$90)</f>
        <v>-1.615655475955638E-2</v>
      </c>
      <c r="I117" s="11" cm="1">
        <f t="array" ref="I117">MMULT($D117:$G117,I$87:I$90)</f>
        <v>-9.7220825149066659E-3</v>
      </c>
      <c r="J117" s="11" cm="1">
        <f t="array" ref="J117">MMULT($D117:$G117,J$87:J$90)</f>
        <v>-1.4950809696700448E-2</v>
      </c>
      <c r="K117" s="11" cm="1">
        <f t="array" ref="K117">MMULT($D117:$G117,K$87:K$90)</f>
        <v>-1.2067910141863446E-2</v>
      </c>
      <c r="L117" s="11" cm="1">
        <f t="array" ref="L117">MMULT($D117:$G117,L$87:L$90)</f>
        <v>-3.1103104094394502E-2</v>
      </c>
      <c r="M117" s="11" cm="1">
        <f t="array" ref="M117">MMULT($D117:$G117,M$87:M$90)</f>
        <v>-2.615343351879346E-2</v>
      </c>
      <c r="N117" s="11" cm="1">
        <f t="array" ref="N117">MMULT($D117:$G117,N$87:N$90)</f>
        <v>-1.2859594660980083E-2</v>
      </c>
      <c r="O117" s="11" cm="1">
        <f t="array" ref="O117">MMULT($D117:$G117,O$87:O$90)</f>
        <v>-8.3260225198436046E-3</v>
      </c>
      <c r="P117" s="11" cm="1">
        <f t="array" ref="P117">MMULT($D117:$G117,P$87:P$90)</f>
        <v>-3.0054537606400481E-2</v>
      </c>
      <c r="Q117" s="11" cm="1">
        <f t="array" ref="Q117">MMULT($D117:$G117,Q$87:Q$90)</f>
        <v>-1.7420549367336991E-2</v>
      </c>
      <c r="R117" s="11" cm="1">
        <f t="array" ref="R117">MMULT($D117:$G117,R$87:R$90)</f>
        <v>-2.6351219966742116E-2</v>
      </c>
      <c r="S117" s="11" cm="1">
        <f t="array" ref="S117">MMULT($D117:$G117,S$87:S$90)</f>
        <v>-2.2225586961827949E-4</v>
      </c>
      <c r="T117" s="11" cm="1">
        <f t="array" ref="T117">MMULT($D117:$G117,T$87:T$90)</f>
        <v>-2.138136350515716E-2</v>
      </c>
      <c r="U117" s="11" cm="1">
        <f t="array" ref="U117">MMULT($D117:$G117,U$87:U$90)</f>
        <v>-3.8116397523683815E-2</v>
      </c>
      <c r="V117" s="11" cm="1">
        <f t="array" ref="V117">MMULT($D117:$G117,V$87:V$90)</f>
        <v>-9.236591530824588E-3</v>
      </c>
      <c r="W117" s="11" cm="1">
        <f t="array" ref="W117">MMULT($D117:$G117,W$87:W$90)</f>
        <v>-2.2712415152419219E-2</v>
      </c>
      <c r="X117" s="11" cm="1">
        <f t="array" ref="X117">MMULT($D117:$G117,X$87:X$90)</f>
        <v>-1.8273163103090614E-2</v>
      </c>
      <c r="Y117" s="11" cm="1">
        <f t="array" ref="Y117">MMULT($D117:$G117,Y$87:Y$90)</f>
        <v>-9.2898989734214229E-3</v>
      </c>
      <c r="Z117" s="11" cm="1">
        <f t="array" ref="Z117">MMULT($D117:$G117,Z$87:Z$90)</f>
        <v>-3.230298030972014E-2</v>
      </c>
      <c r="AA117" s="11" cm="1">
        <f t="array" ref="AA117">MMULT($D117:$G117,AA$87:AA$90)</f>
        <v>-7.4394050582714446E-3</v>
      </c>
      <c r="AB117" s="11" cm="1">
        <f t="array" ref="AB117">MMULT($D117:$G117,AB$87:AB$90)</f>
        <v>-2.0986020290118777E-3</v>
      </c>
      <c r="AC117" s="11" cm="1">
        <f t="array" ref="AC117">MMULT($D117:$G117,AC$87:AC$90)</f>
        <v>-9.6366548268304215E-3</v>
      </c>
      <c r="AD117" s="11" cm="1">
        <f t="array" ref="AD117">MMULT($D117:$G117,AD$87:AD$90)</f>
        <v>-4.9648688837637279E-3</v>
      </c>
      <c r="AE117" s="11" cm="1">
        <f t="array" ref="AE117">MMULT($D117:$G117,AE$87:AE$90)</f>
        <v>-2.0968071835368755E-2</v>
      </c>
      <c r="AF117" s="11" cm="1">
        <f t="array" ref="AF117">MMULT($D117:$G117,AF$87:AF$90)</f>
        <v>-1.0748094869756534E-2</v>
      </c>
      <c r="AG117" s="11" cm="1">
        <f t="array" ref="AG117">MMULT($D117:$G117,AG$87:AG$90)</f>
        <v>-3.1833290229753008E-2</v>
      </c>
      <c r="AH117" s="11" cm="1">
        <f t="array" ref="AH117">MMULT($D117:$G117,AH$87:AH$90)</f>
        <v>-3.4199503296822378E-2</v>
      </c>
      <c r="AI117" s="11" cm="1">
        <f t="array" ref="AI117">MMULT($D117:$G117,AI$87:AI$90)</f>
        <v>-3.9264014922365691E-2</v>
      </c>
      <c r="AJ117" s="11" cm="1">
        <f t="array" ref="AJ117">MMULT($D117:$G117,AJ$87:AJ$90)</f>
        <v>-1.27000254763851E-2</v>
      </c>
      <c r="AK117" s="11" cm="1">
        <f t="array" ref="AK117">MMULT($D117:$G117,AK$87:AK$90)</f>
        <v>-3.0046100934255696E-2</v>
      </c>
      <c r="AL117" s="11" cm="1">
        <f t="array" ref="AL117">MMULT($D117:$G117,AL$87:AL$90)</f>
        <v>-4.1257667031933662E-2</v>
      </c>
      <c r="AM117" s="11" cm="1">
        <f t="array" ref="AM117">MMULT($D117:$G117,AM$87:AM$90)</f>
        <v>-1.282321794020027E-2</v>
      </c>
      <c r="AN117" s="11" cm="1">
        <f t="array" ref="AN117">MMULT($D117:$G117,AN$87:AN$90)</f>
        <v>-6.2119704801215621E-3</v>
      </c>
      <c r="AO117" s="11" cm="1">
        <f t="array" ref="AO117">MMULT($D117:$G117,AO$87:AO$90)</f>
        <v>-3.7980276207161181E-3</v>
      </c>
      <c r="AP117" s="11" cm="1">
        <f t="array" ref="AP117">MMULT($D117:$G117,AP$87:AP$90)</f>
        <v>-2.0186447630911E-2</v>
      </c>
      <c r="AQ117" s="11" cm="1">
        <f t="array" ref="AQ117">MMULT($D117:$G117,AQ$87:AQ$90)</f>
        <v>-1.3368369136163197E-2</v>
      </c>
      <c r="AR117" s="11" cm="1">
        <f t="array" ref="AR117">MMULT($D117:$G117,AR$87:AR$90)</f>
        <v>-2.4472089310758022E-2</v>
      </c>
      <c r="AS117" s="11" cm="1">
        <f t="array" ref="AS117">MMULT($D117:$G117,AS$87:AS$90)</f>
        <v>-1.9663269310416464E-2</v>
      </c>
      <c r="AT117" s="11" cm="1">
        <f t="array" ref="AT117">MMULT($D117:$G117,AT$87:AT$90)</f>
        <v>-3.8397132949930498E-3</v>
      </c>
      <c r="AU117" s="11" cm="1">
        <f t="array" ref="AU117">MMULT($D117:$G117,AU$87:AU$90)</f>
        <v>-8.5240731723648308E-3</v>
      </c>
      <c r="AV117" s="11" cm="1">
        <f t="array" ref="AV117">MMULT($D117:$G117,AV$87:AV$90)</f>
        <v>-1.2303125816164218E-2</v>
      </c>
      <c r="AW117" s="11" cm="1">
        <f t="array" ref="AW117">MMULT($D117:$G117,AW$87:AW$90)</f>
        <v>-1.234502343084469E-2</v>
      </c>
      <c r="AX117" s="11" cm="1">
        <f t="array" ref="AX117">MMULT($D117:$G117,AX$87:AX$90)</f>
        <v>3.2050689281217827E-4</v>
      </c>
      <c r="AY117" s="11" cm="1">
        <f t="array" ref="AY117">MMULT($D117:$G117,AY$87:AY$90)</f>
        <v>-7.5189882339456735E-3</v>
      </c>
      <c r="AZ117" s="11" cm="1">
        <f t="array" ref="AZ117">MMULT($D117:$G117,AZ$87:AZ$90)</f>
        <v>-2.9795890677179103E-2</v>
      </c>
      <c r="BA117" s="11" cm="1">
        <f t="array" ref="BA117">MMULT($D117:$G117,BA$87:BA$90)</f>
        <v>-8.2345271333432047E-3</v>
      </c>
      <c r="BB117" s="11" cm="1">
        <f t="array" ref="BB117">MMULT($D117:$G117,BB$87:BB$90)</f>
        <v>-1.4950313878812986E-2</v>
      </c>
      <c r="BC117" s="11" cm="1">
        <f t="array" ref="BC117">MMULT($D117:$G117,BC$87:BC$90)</f>
        <v>-4.5180896529058885E-3</v>
      </c>
      <c r="BD117" s="11" cm="1">
        <f t="array" ref="BD117">MMULT($D117:$G117,BD$87:BD$90)</f>
        <v>-9.047487682531264E-3</v>
      </c>
      <c r="BE117" s="11" cm="1">
        <f t="array" ref="BE117">MMULT($D117:$G117,BE$87:BE$90)</f>
        <v>-6.0265096332360237E-3</v>
      </c>
    </row>
    <row r="118" spans="3:57" x14ac:dyDescent="0.3">
      <c r="D118" s="9">
        <v>9.3096600864385204E-2</v>
      </c>
      <c r="E118" s="9">
        <v>-1.6844121457945893E-2</v>
      </c>
      <c r="F118" s="9">
        <v>-2.5881514899679492E-2</v>
      </c>
      <c r="G118" s="9">
        <v>-7.9584775086505188E-2</v>
      </c>
      <c r="H118" s="21" cm="1">
        <f t="array" ref="H118">MMULT($D118:$G118,H$87:H$90)</f>
        <v>-7.3034526449363424E-3</v>
      </c>
      <c r="I118" s="11" cm="1">
        <f t="array" ref="I118">MMULT($D118:$G118,I$87:I$90)</f>
        <v>-2.2993785039110509E-2</v>
      </c>
      <c r="J118" s="11" cm="1">
        <f t="array" ref="J118">MMULT($D118:$G118,J$87:J$90)</f>
        <v>-1.1238774402789808E-2</v>
      </c>
      <c r="K118" s="11" cm="1">
        <f t="array" ref="K118">MMULT($D118:$G118,K$87:K$90)</f>
        <v>-1.9242223066119508E-2</v>
      </c>
      <c r="L118" s="11" cm="1">
        <f t="array" ref="L118">MMULT($D118:$G118,L$87:L$90)</f>
        <v>3.2031099213602407E-2</v>
      </c>
      <c r="M118" s="11" cm="1">
        <f t="array" ref="M118">MMULT($D118:$G118,M$87:M$90)</f>
        <v>2.2686519747285815E-2</v>
      </c>
      <c r="N118" s="11" cm="1">
        <f t="array" ref="N118">MMULT($D118:$G118,N$87:N$90)</f>
        <v>-1.1273693546240981E-2</v>
      </c>
      <c r="O118" s="11" cm="1">
        <f t="array" ref="O118">MMULT($D118:$G118,O$87:O$90)</f>
        <v>-3.3057429862491557E-2</v>
      </c>
      <c r="P118" s="11" cm="1">
        <f t="array" ref="P118">MMULT($D118:$G118,P$87:P$90)</f>
        <v>2.2041150772687472E-2</v>
      </c>
      <c r="Q118" s="11" cm="1">
        <f t="array" ref="Q118">MMULT($D118:$G118,Q$87:Q$90)</f>
        <v>-7.3381948214370652E-3</v>
      </c>
      <c r="R118" s="11" cm="1">
        <f t="array" ref="R118">MMULT($D118:$G118,R$87:R$90)</f>
        <v>2.1337942137300718E-2</v>
      </c>
      <c r="S118" s="11" cm="1">
        <f t="array" ref="S118">MMULT($D118:$G118,S$87:S$90)</f>
        <v>-4.163001370659157E-2</v>
      </c>
      <c r="T118" s="11" cm="1">
        <f t="array" ref="T118">MMULT($D118:$G118,T$87:T$90)</f>
        <v>4.7187664005482518E-3</v>
      </c>
      <c r="U118" s="11" cm="1">
        <f t="array" ref="U118">MMULT($D118:$G118,U$87:U$90)</f>
        <v>4.7942181239333463E-2</v>
      </c>
      <c r="V118" s="11" cm="1">
        <f t="array" ref="V118">MMULT($D118:$G118,V$87:V$90)</f>
        <v>-2.2057650087205324E-2</v>
      </c>
      <c r="W118" s="11" cm="1">
        <f t="array" ref="W118">MMULT($D118:$G118,W$87:W$90)</f>
        <v>5.5426293538022014E-3</v>
      </c>
      <c r="X118" s="11" cm="1">
        <f t="array" ref="X118">MMULT($D118:$G118,X$87:X$90)</f>
        <v>-1.1101942128395435E-2</v>
      </c>
      <c r="Y118" s="11" cm="1">
        <f t="array" ref="Y118">MMULT($D118:$G118,Y$87:Y$90)</f>
        <v>-2.4612862339666496E-2</v>
      </c>
      <c r="Z118" s="11" cm="1">
        <f t="array" ref="Z118">MMULT($D118:$G118,Z$87:Z$90)</f>
        <v>3.367392731171491E-2</v>
      </c>
      <c r="AA118" s="11" cm="1">
        <f t="array" ref="AA118">MMULT($D118:$G118,AA$87:AA$90)</f>
        <v>-2.2410133152947306E-2</v>
      </c>
      <c r="AB118" s="11" cm="1">
        <f t="array" ref="AB118">MMULT($D118:$G118,AB$87:AB$90)</f>
        <v>-3.8740954799551933E-2</v>
      </c>
      <c r="AC118" s="11" cm="1">
        <f t="array" ref="AC118">MMULT($D118:$G118,AC$87:AC$90)</f>
        <v>-2.6947820440428004E-2</v>
      </c>
      <c r="AD118" s="11" cm="1">
        <f t="array" ref="AD118">MMULT($D118:$G118,AD$87:AD$90)</f>
        <v>-2.7375931320634917E-2</v>
      </c>
      <c r="AE118" s="11" cm="1">
        <f t="array" ref="AE118">MMULT($D118:$G118,AE$87:AE$90)</f>
        <v>7.2159537308630131E-3</v>
      </c>
      <c r="AF118" s="11" cm="1">
        <f t="array" ref="AF118">MMULT($D118:$G118,AF$87:AF$90)</f>
        <v>-2.7762003561143795E-2</v>
      </c>
      <c r="AG118" s="11" cm="1">
        <f t="array" ref="AG118">MMULT($D118:$G118,AG$87:AG$90)</f>
        <v>3.5695437986466405E-2</v>
      </c>
      <c r="AH118" s="11" cm="1">
        <f t="array" ref="AH118">MMULT($D118:$G118,AH$87:AH$90)</f>
        <v>3.6805908045028028E-2</v>
      </c>
      <c r="AI118" s="11" cm="1">
        <f t="array" ref="AI118">MMULT($D118:$G118,AI$87:AI$90)</f>
        <v>5.2635178496478023E-2</v>
      </c>
      <c r="AJ118" s="11" cm="1">
        <f t="array" ref="AJ118">MMULT($D118:$G118,AJ$87:AJ$90)</f>
        <v>-1.7210907460106839E-2</v>
      </c>
      <c r="AK118" s="11" cm="1">
        <f t="array" ref="AK118">MMULT($D118:$G118,AK$87:AK$90)</f>
        <v>2.9114307692207193E-2</v>
      </c>
      <c r="AL118" s="11" cm="1">
        <f t="array" ref="AL118">MMULT($D118:$G118,AL$87:AL$90)</f>
        <v>5.6582288169727601E-2</v>
      </c>
      <c r="AM118" s="11" cm="1">
        <f t="array" ref="AM118">MMULT($D118:$G118,AM$87:AM$90)</f>
        <v>-1.8502378823641967E-2</v>
      </c>
      <c r="AN118" s="11" cm="1">
        <f t="array" ref="AN118">MMULT($D118:$G118,AN$87:AN$90)</f>
        <v>-3.0215813377332191E-2</v>
      </c>
      <c r="AO118" s="11" cm="1">
        <f t="array" ref="AO118">MMULT($D118:$G118,AO$87:AO$90)</f>
        <v>-3.2281438230713784E-2</v>
      </c>
      <c r="AP118" s="11" cm="1">
        <f t="array" ref="AP118">MMULT($D118:$G118,AP$87:AP$90)</f>
        <v>-6.1314029054489617E-3</v>
      </c>
      <c r="AQ118" s="11" cm="1">
        <f t="array" ref="AQ118">MMULT($D118:$G118,AQ$87:AQ$90)</f>
        <v>-1.4661586809141862E-2</v>
      </c>
      <c r="AR118" s="11" cm="1">
        <f t="array" ref="AR118">MMULT($D118:$G118,AR$87:AR$90)</f>
        <v>3.6084229881121178E-3</v>
      </c>
      <c r="AS118" s="11" cm="1">
        <f t="array" ref="AS118">MMULT($D118:$G118,AS$87:AS$90)</f>
        <v>7.2115211219541883E-3</v>
      </c>
      <c r="AT118" s="11" cm="1">
        <f t="array" ref="AT118">MMULT($D118:$G118,AT$87:AT$90)</f>
        <v>-3.7906998504527584E-2</v>
      </c>
      <c r="AU118" s="11" cm="1">
        <f t="array" ref="AU118">MMULT($D118:$G118,AU$87:AU$90)</f>
        <v>-2.1985573238112573E-2</v>
      </c>
      <c r="AV118" s="11" cm="1">
        <f t="array" ref="AV118">MMULT($D118:$G118,AV$87:AV$90)</f>
        <v>-1.1658874863504479E-2</v>
      </c>
      <c r="AW118" s="11" cm="1">
        <f t="array" ref="AW118">MMULT($D118:$G118,AW$87:AW$90)</f>
        <v>-1.8710674329046981E-2</v>
      </c>
      <c r="AX118" s="11" cm="1">
        <f t="array" ref="AX118">MMULT($D118:$G118,AX$87:AX$90)</f>
        <v>-4.1180553439699029E-2</v>
      </c>
      <c r="AY118" s="11" cm="1">
        <f t="array" ref="AY118">MMULT($D118:$G118,AY$87:AY$90)</f>
        <v>-2.4194872407720915E-2</v>
      </c>
      <c r="AZ118" s="11" cm="1">
        <f t="array" ref="AZ118">MMULT($D118:$G118,AZ$87:AZ$90)</f>
        <v>2.8930775497876184E-2</v>
      </c>
      <c r="BA118" s="11" cm="1">
        <f t="array" ref="BA118">MMULT($D118:$G118,BA$87:BA$90)</f>
        <v>-2.3059169884622865E-2</v>
      </c>
      <c r="BB118" s="11" cm="1">
        <f t="array" ref="BB118">MMULT($D118:$G118,BB$87:BB$90)</f>
        <v>-1.6159247901739816E-2</v>
      </c>
      <c r="BC118" s="11" cm="1">
        <f t="array" ref="BC118">MMULT($D118:$G118,BC$87:BC$90)</f>
        <v>-3.0857300951248931E-2</v>
      </c>
      <c r="BD118" s="11" cm="1">
        <f t="array" ref="BD118">MMULT($D118:$G118,BD$87:BD$90)</f>
        <v>-3.4088524195012987E-2</v>
      </c>
      <c r="BE118" s="11" cm="1">
        <f t="array" ref="BE118">MMULT($D118:$G118,BE$87:BE$90)</f>
        <v>-3.1389161987610652E-2</v>
      </c>
    </row>
    <row r="119" spans="3:57" x14ac:dyDescent="0.3">
      <c r="D119" s="9">
        <v>-6.8640022796893851E-2</v>
      </c>
      <c r="E119" s="9">
        <v>-7.552143020857216E-2</v>
      </c>
      <c r="F119" s="9">
        <v>-2.9433272394881027E-2</v>
      </c>
      <c r="G119" s="9">
        <v>0.12030075187969924</v>
      </c>
      <c r="H119" s="21" cm="1">
        <f t="array" ref="H119">MMULT($D119:$G119,H$87:H$90)</f>
        <v>-1.3323493380161949E-2</v>
      </c>
      <c r="I119" s="11" cm="1">
        <f t="array" ref="I119">MMULT($D119:$G119,I$87:I$90)</f>
        <v>-1.2486193631159798E-2</v>
      </c>
      <c r="J119" s="11" cm="1">
        <f t="array" ref="J119">MMULT($D119:$G119,J$87:J$90)</f>
        <v>-4.6746266891277789E-2</v>
      </c>
      <c r="K119" s="11" cm="1">
        <f t="array" ref="K119">MMULT($D119:$G119,K$87:K$90)</f>
        <v>9.6200635107224416E-3</v>
      </c>
      <c r="L119" s="11" cm="1">
        <f t="array" ref="L119">MMULT($D119:$G119,L$87:L$90)</f>
        <v>-4.0996449237476418E-2</v>
      </c>
      <c r="M119" s="11" cm="1">
        <f t="array" ref="M119">MMULT($D119:$G119,M$87:M$90)</f>
        <v>-1.4124431497466186E-2</v>
      </c>
      <c r="N119" s="11" cm="1">
        <f t="array" ref="N119">MMULT($D119:$G119,N$87:N$90)</f>
        <v>-2.3578532455804241E-4</v>
      </c>
      <c r="O119" s="11" cm="1">
        <f t="array" ref="O119">MMULT($D119:$G119,O$87:O$90)</f>
        <v>-1.4461239593008053E-2</v>
      </c>
      <c r="P119" s="11" cm="1">
        <f t="array" ref="P119">MMULT($D119:$G119,P$87:P$90)</f>
        <v>-4.0939672013820691E-2</v>
      </c>
      <c r="Q119" s="11" cm="1">
        <f t="array" ref="Q119">MMULT($D119:$G119,Q$87:Q$90)</f>
        <v>-4.0840871837916598E-2</v>
      </c>
      <c r="R119" s="11" cm="1">
        <f t="array" ref="R119">MMULT($D119:$G119,R$87:R$90)</f>
        <v>-2.086579849244069E-2</v>
      </c>
      <c r="S119" s="11" cm="1">
        <f t="array" ref="S119">MMULT($D119:$G119,S$87:S$90)</f>
        <v>5.6013095743343601E-2</v>
      </c>
      <c r="T119" s="11" cm="1">
        <f t="array" ref="T119">MMULT($D119:$G119,T$87:T$90)</f>
        <v>-3.9510390975858296E-2</v>
      </c>
      <c r="U119" s="11" cm="1">
        <f t="array" ref="U119">MMULT($D119:$G119,U$87:U$90)</f>
        <v>-6.2644441654044092E-2</v>
      </c>
      <c r="V119" s="11" cm="1">
        <f t="array" ref="V119">MMULT($D119:$G119,V$87:V$90)</f>
        <v>6.3657293152583339E-3</v>
      </c>
      <c r="W119" s="11" cm="1">
        <f t="array" ref="W119">MMULT($D119:$G119,W$87:W$90)</f>
        <v>-5.4366737898184157E-2</v>
      </c>
      <c r="X119" s="11" cm="1">
        <f t="array" ref="X119">MMULT($D119:$G119,X$87:X$90)</f>
        <v>-3.0475917361801316E-2</v>
      </c>
      <c r="Y119" s="11" cm="1">
        <f t="array" ref="Y119">MMULT($D119:$G119,Y$87:Y$90)</f>
        <v>-2.8506012183318462E-2</v>
      </c>
      <c r="Z119" s="11" cm="1">
        <f t="array" ref="Z119">MMULT($D119:$G119,Z$87:Z$90)</f>
        <v>-3.0086436484228457E-2</v>
      </c>
      <c r="AA119" s="11" cm="1">
        <f t="array" ref="AA119">MMULT($D119:$G119,AA$87:AA$90)</f>
        <v>3.2898481856011436E-2</v>
      </c>
      <c r="AB119" s="11" cm="1">
        <f t="array" ref="AB119">MMULT($D119:$G119,AB$87:AB$90)</f>
        <v>3.1381810753971756E-2</v>
      </c>
      <c r="AC119" s="11" cm="1">
        <f t="array" ref="AC119">MMULT($D119:$G119,AC$87:AC$90)</f>
        <v>7.8120587239001553E-3</v>
      </c>
      <c r="AD119" s="11" cm="1">
        <f t="array" ref="AD119">MMULT($D119:$G119,AD$87:AD$90)</f>
        <v>4.8686719522384722E-2</v>
      </c>
      <c r="AE119" s="11" cm="1">
        <f t="array" ref="AE119">MMULT($D119:$G119,AE$87:AE$90)</f>
        <v>-8.184272694566834E-3</v>
      </c>
      <c r="AF119" s="11" cm="1">
        <f t="array" ref="AF119">MMULT($D119:$G119,AF$87:AF$90)</f>
        <v>6.6104136045317397E-3</v>
      </c>
      <c r="AG119" s="11" cm="1">
        <f t="array" ref="AG119">MMULT($D119:$G119,AG$87:AG$90)</f>
        <v>-2.6061076865172984E-2</v>
      </c>
      <c r="AH119" s="11" cm="1">
        <f t="array" ref="AH119">MMULT($D119:$G119,AH$87:AH$90)</f>
        <v>-5.4066871327345854E-2</v>
      </c>
      <c r="AI119" s="11" cm="1">
        <f t="array" ref="AI119">MMULT($D119:$G119,AI$87:AI$90)</f>
        <v>-4.8447480109576793E-2</v>
      </c>
      <c r="AJ119" s="11" cm="1">
        <f t="array" ref="AJ119">MMULT($D119:$G119,AJ$87:AJ$90)</f>
        <v>-1.9715633547876942E-2</v>
      </c>
      <c r="AK119" s="11" cm="1">
        <f t="array" ref="AK119">MMULT($D119:$G119,AK$87:AK$90)</f>
        <v>-3.3657728777820591E-2</v>
      </c>
      <c r="AL119" s="11" cm="1">
        <f t="array" ref="AL119">MMULT($D119:$G119,AL$87:AL$90)</f>
        <v>-5.6939488062901888E-2</v>
      </c>
      <c r="AM119" s="11" cm="1">
        <f t="array" ref="AM119">MMULT($D119:$G119,AM$87:AM$90)</f>
        <v>1.0498129014718974E-2</v>
      </c>
      <c r="AN119" s="11" cm="1">
        <f t="array" ref="AN119">MMULT($D119:$G119,AN$87:AN$90)</f>
        <v>2.1012494272810777E-2</v>
      </c>
      <c r="AO119" s="11" cm="1">
        <f t="array" ref="AO119">MMULT($D119:$G119,AO$87:AO$90)</f>
        <v>2.4551085284694435E-2</v>
      </c>
      <c r="AP119" s="11" cm="1">
        <f t="array" ref="AP119">MMULT($D119:$G119,AP$87:AP$90)</f>
        <v>-3.6006012475247304E-2</v>
      </c>
      <c r="AQ119" s="11" cm="1">
        <f t="array" ref="AQ119">MMULT($D119:$G119,AQ$87:AQ$90)</f>
        <v>1.4417518026376787E-2</v>
      </c>
      <c r="AR119" s="11" cm="1">
        <f t="array" ref="AR119">MMULT($D119:$G119,AR$87:AR$90)</f>
        <v>-3.9235335898008136E-2</v>
      </c>
      <c r="AS119" s="11" cm="1">
        <f t="array" ref="AS119">MMULT($D119:$G119,AS$87:AS$90)</f>
        <v>1.1931518403471425E-2</v>
      </c>
      <c r="AT119" s="11" cm="1">
        <f t="array" ref="AT119">MMULT($D119:$G119,AT$87:AT$90)</f>
        <v>1.0648121772380809E-2</v>
      </c>
      <c r="AU119" s="11" cm="1">
        <f t="array" ref="AU119">MMULT($D119:$G119,AU$87:AU$90)</f>
        <v>-1.09689691058827E-2</v>
      </c>
      <c r="AV119" s="11" cm="1">
        <f t="array" ref="AV119">MMULT($D119:$G119,AV$87:AV$90)</f>
        <v>-7.1127642757003659E-3</v>
      </c>
      <c r="AW119" s="11" cm="1">
        <f t="array" ref="AW119">MMULT($D119:$G119,AW$87:AW$90)</f>
        <v>-5.6191841988326892E-2</v>
      </c>
      <c r="AX119" s="11" cm="1">
        <f t="array" ref="AX119">MMULT($D119:$G119,AX$87:AX$90)</f>
        <v>2.3084189422349653E-2</v>
      </c>
      <c r="AY119" s="11" cm="1">
        <f t="array" ref="AY119">MMULT($D119:$G119,AY$87:AY$90)</f>
        <v>-1.2381678701274587E-2</v>
      </c>
      <c r="AZ119" s="11" cm="1">
        <f t="array" ref="AZ119">MMULT($D119:$G119,AZ$87:AZ$90)</f>
        <v>-2.5102747764074548E-2</v>
      </c>
      <c r="BA119" s="11" cm="1">
        <f t="array" ref="BA119">MMULT($D119:$G119,BA$87:BA$90)</f>
        <v>3.7340278962124093E-2</v>
      </c>
      <c r="BB119" s="11" cm="1">
        <f t="array" ref="BB119">MMULT($D119:$G119,BB$87:BB$90)</f>
        <v>-4.7119999219102579E-2</v>
      </c>
      <c r="BC119" s="11" cm="1">
        <f t="array" ref="BC119">MMULT($D119:$G119,BC$87:BC$90)</f>
        <v>4.4698982246673652E-2</v>
      </c>
      <c r="BD119" s="11" cm="1">
        <f t="array" ref="BD119">MMULT($D119:$G119,BD$87:BD$90)</f>
        <v>-1.9872281828667016E-3</v>
      </c>
      <c r="BE119" s="11" cm="1">
        <f t="array" ref="BE119">MMULT($D119:$G119,BE$87:BE$90)</f>
        <v>2.0895795147491542E-2</v>
      </c>
    </row>
    <row r="120" spans="3:57" x14ac:dyDescent="0.3">
      <c r="D120" s="9">
        <v>-0.10926683749569743</v>
      </c>
      <c r="E120" s="9">
        <v>1.2520143795710981E-2</v>
      </c>
      <c r="F120" s="9">
        <v>-2.8881773089721952E-2</v>
      </c>
      <c r="G120" s="9">
        <v>-0.12416107382550334</v>
      </c>
      <c r="H120" s="21" cm="1">
        <f t="array" ref="H120">MMULT($D120:$G120,H$87:H$90)</f>
        <v>-6.2447385153802937E-2</v>
      </c>
      <c r="I120" s="11" cm="1">
        <f t="array" ref="I120">MMULT($D120:$G120,I$87:I$90)</f>
        <v>-4.6903624251028356E-2</v>
      </c>
      <c r="J120" s="11" cm="1">
        <f t="array" ref="J120">MMULT($D120:$G120,J$87:J$90)</f>
        <v>-2.3753725774647245E-2</v>
      </c>
      <c r="K120" s="11" cm="1">
        <f t="array" ref="K120">MMULT($D120:$G120,K$87:K$90)</f>
        <v>-7.4092108621457556E-2</v>
      </c>
      <c r="L120" s="11" cm="1">
        <f t="array" ref="L120">MMULT($D120:$G120,L$87:L$90)</f>
        <v>-7.4409683066688145E-2</v>
      </c>
      <c r="M120" s="11" cm="1">
        <f t="array" ref="M120">MMULT($D120:$G120,M$87:M$90)</f>
        <v>-9.2145245829759082E-2</v>
      </c>
      <c r="N120" s="11" cm="1">
        <f t="array" ref="N120">MMULT($D120:$G120,N$87:N$90)</f>
        <v>-7.1281356841632643E-2</v>
      </c>
      <c r="O120" s="11" cm="1">
        <f t="array" ref="O120">MMULT($D120:$G120,O$87:O$90)</f>
        <v>-3.5323634809852664E-2</v>
      </c>
      <c r="P120" s="11" cm="1">
        <f t="array" ref="P120">MMULT($D120:$G120,P$87:P$90)</f>
        <v>-6.5133995240196002E-2</v>
      </c>
      <c r="Q120" s="11" cm="1">
        <f t="array" ref="Q120">MMULT($D120:$G120,Q$87:Q$90)</f>
        <v>-3.4288376014523871E-2</v>
      </c>
      <c r="R120" s="11" cm="1">
        <f t="array" ref="R120">MMULT($D120:$G120,R$87:R$90)</f>
        <v>-8.4005056916210824E-2</v>
      </c>
      <c r="S120" s="11" cm="1">
        <f t="array" ref="S120">MMULT($D120:$G120,S$87:S$90)</f>
        <v>-9.789914493054741E-2</v>
      </c>
      <c r="T120" s="11" cm="1">
        <f t="array" ref="T120">MMULT($D120:$G120,T$87:T$90)</f>
        <v>-4.7923504087761123E-2</v>
      </c>
      <c r="U120" s="11" cm="1">
        <f t="array" ref="U120">MMULT($D120:$G120,U$87:U$90)</f>
        <v>-6.8740787706837655E-2</v>
      </c>
      <c r="V120" s="11" cm="1">
        <f t="array" ref="V120">MMULT($D120:$G120,V$87:V$90)</f>
        <v>-6.7151832173849471E-2</v>
      </c>
      <c r="W120" s="11" cm="1">
        <f t="array" ref="W120">MMULT($D120:$G120,W$87:W$90)</f>
        <v>-3.3713162736388927E-2</v>
      </c>
      <c r="X120" s="11" cm="1">
        <f t="array" ref="X120">MMULT($D120:$G120,X$87:X$90)</f>
        <v>-4.1997425283947037E-2</v>
      </c>
      <c r="Y120" s="11" cm="1">
        <f t="array" ref="Y120">MMULT($D120:$G120,Y$87:Y$90)</f>
        <v>-2.8650142982646429E-2</v>
      </c>
      <c r="Z120" s="11" cm="1">
        <f t="array" ref="Z120">MMULT($D120:$G120,Z$87:Z$90)</f>
        <v>-8.7656375571016992E-2</v>
      </c>
      <c r="AA120" s="11" cm="1">
        <f t="array" ref="AA120">MMULT($D120:$G120,AA$87:AA$90)</f>
        <v>-9.3745684370738935E-2</v>
      </c>
      <c r="AB120" s="11" cm="1">
        <f t="array" ref="AB120">MMULT($D120:$G120,AB$87:AB$90)</f>
        <v>-7.5582629140519358E-2</v>
      </c>
      <c r="AC120" s="11" cm="1">
        <f t="array" ref="AC120">MMULT($D120:$G120,AC$87:AC$90)</f>
        <v>-6.4419501951997082E-2</v>
      </c>
      <c r="AD120" s="11" cm="1">
        <f t="array" ref="AD120">MMULT($D120:$G120,AD$87:AD$90)</f>
        <v>-0.10479456424195703</v>
      </c>
      <c r="AE120" s="11" cm="1">
        <f t="array" ref="AE120">MMULT($D120:$G120,AE$87:AE$90)</f>
        <v>-8.2557520973689541E-2</v>
      </c>
      <c r="AF120" s="11" cm="1">
        <f t="array" ref="AF120">MMULT($D120:$G120,AF$87:AF$90)</f>
        <v>-6.2848353413499952E-2</v>
      </c>
      <c r="AG120" s="11" cm="1">
        <f t="array" ref="AG120">MMULT($D120:$G120,AG$87:AG$90)</f>
        <v>-9.3478033839122815E-2</v>
      </c>
      <c r="AH120" s="11" cm="1">
        <f t="array" ref="AH120">MMULT($D120:$G120,AH$87:AH$90)</f>
        <v>-6.6241133863367302E-2</v>
      </c>
      <c r="AI120" s="11" cm="1">
        <f t="array" ref="AI120">MMULT($D120:$G120,AI$87:AI$90)</f>
        <v>-8.8116397074391742E-2</v>
      </c>
      <c r="AJ120" s="11" cm="1">
        <f t="array" ref="AJ120">MMULT($D120:$G120,AJ$87:AJ$90)</f>
        <v>-4.5663712510956911E-2</v>
      </c>
      <c r="AK120" s="11" cm="1">
        <f t="array" ref="AK120">MMULT($D120:$G120,AK$87:AK$90)</f>
        <v>-7.9034291059248724E-2</v>
      </c>
      <c r="AL120" s="11" cm="1">
        <f t="array" ref="AL120">MMULT($D120:$G120,AL$87:AL$90)</f>
        <v>-8.3559543928360971E-2</v>
      </c>
      <c r="AM120" s="11" cm="1">
        <f t="array" ref="AM120">MMULT($D120:$G120,AM$87:AM$90)</f>
        <v>-7.5943798773304844E-2</v>
      </c>
      <c r="AN120" s="11" cm="1">
        <f t="array" ref="AN120">MMULT($D120:$G120,AN$87:AN$90)</f>
        <v>-7.3953045684541516E-2</v>
      </c>
      <c r="AO120" s="11" cm="1">
        <f t="array" ref="AO120">MMULT($D120:$G120,AO$87:AO$90)</f>
        <v>-7.4895221953627841E-2</v>
      </c>
      <c r="AP120" s="11" cm="1">
        <f t="array" ref="AP120">MMULT($D120:$G120,AP$87:AP$90)</f>
        <v>-4.1405559702258114E-2</v>
      </c>
      <c r="AQ120" s="11" cm="1">
        <f t="array" ref="AQ120">MMULT($D120:$G120,AQ$87:AQ$90)</f>
        <v>-8.365689716546415E-2</v>
      </c>
      <c r="AR120" s="11" cm="1">
        <f t="array" ref="AR120">MMULT($D120:$G120,AR$87:AR$90)</f>
        <v>-4.834583707466731E-2</v>
      </c>
      <c r="AS120" s="11" cm="1">
        <f t="array" ref="AS120">MMULT($D120:$G120,AS$87:AS$90)</f>
        <v>-0.10297623549074485</v>
      </c>
      <c r="AT120" s="11" cm="1">
        <f t="array" ref="AT120">MMULT($D120:$G120,AT$87:AT$90)</f>
        <v>-5.5424874961721833E-2</v>
      </c>
      <c r="AU120" s="11" cm="1">
        <f t="array" ref="AU120">MMULT($D120:$G120,AU$87:AU$90)</f>
        <v>-4.8944816931326268E-2</v>
      </c>
      <c r="AV120" s="11" cm="1">
        <f t="array" ref="AV120">MMULT($D120:$G120,AV$87:AV$90)</f>
        <v>-6.3587349937120979E-2</v>
      </c>
      <c r="AW120" s="11" cm="1">
        <f t="array" ref="AW120">MMULT($D120:$G120,AW$87:AW$90)</f>
        <v>-6.2911761563859067E-3</v>
      </c>
      <c r="AX120" s="11" cm="1">
        <f t="array" ref="AX120">MMULT($D120:$G120,AX$87:AX$90)</f>
        <v>-6.389000367615022E-2</v>
      </c>
      <c r="AY120" s="11" cm="1">
        <f t="array" ref="AY120">MMULT($D120:$G120,AY$87:AY$90)</f>
        <v>-4.5129588171740363E-2</v>
      </c>
      <c r="AZ120" s="11" cm="1">
        <f t="array" ref="AZ120">MMULT($D120:$G120,AZ$87:AZ$90)</f>
        <v>-8.7666889781590734E-2</v>
      </c>
      <c r="BA120" s="11" cm="1">
        <f t="array" ref="BA120">MMULT($D120:$G120,BA$87:BA$90)</f>
        <v>-9.8070253936816953E-2</v>
      </c>
      <c r="BB120" s="11" cm="1">
        <f t="array" ref="BB120">MMULT($D120:$G120,BB$87:BB$90)</f>
        <v>-1.8956568585214315E-2</v>
      </c>
      <c r="BC120" s="11" cm="1">
        <f t="array" ref="BC120">MMULT($D120:$G120,BC$87:BC$90)</f>
        <v>-9.7368499135735337E-2</v>
      </c>
      <c r="BD120" s="11" cm="1">
        <f t="array" ref="BD120">MMULT($D120:$G120,BD$87:BD$90)</f>
        <v>-4.7624401997097603E-2</v>
      </c>
      <c r="BE120" s="11" cm="1">
        <f t="array" ref="BE120">MMULT($D120:$G120,BE$87:BE$90)</f>
        <v>-7.2712602759681749E-2</v>
      </c>
    </row>
    <row r="121" spans="3:57" x14ac:dyDescent="0.3">
      <c r="D121" s="9">
        <v>-3.3061399742378983E-3</v>
      </c>
      <c r="E121" s="9">
        <v>6.4948579823702168E-2</v>
      </c>
      <c r="F121" s="9">
        <v>-1.7844443007693722E-2</v>
      </c>
      <c r="G121" s="9">
        <v>8.4291187739463647E-2</v>
      </c>
      <c r="H121" s="21" cm="1">
        <f t="array" ref="H121">MMULT($D121:$G121,H$87:H$90)</f>
        <v>3.2022296145308549E-2</v>
      </c>
      <c r="I121" s="11" cm="1">
        <f t="array" ref="I121">MMULT($D121:$G121,I$87:I$90)</f>
        <v>4.2633778726428193E-2</v>
      </c>
      <c r="J121" s="11" cm="1">
        <f t="array" ref="J121">MMULT($D121:$G121,J$87:J$90)</f>
        <v>4.0022917691485159E-2</v>
      </c>
      <c r="K121" s="11" cm="1">
        <f t="array" ref="K121">MMULT($D121:$G121,K$87:K$90)</f>
        <v>2.639861587443295E-2</v>
      </c>
      <c r="L121" s="11" cm="1">
        <f t="array" ref="L121">MMULT($D121:$G121,L$87:L$90)</f>
        <v>2.3561110953813962E-2</v>
      </c>
      <c r="M121" s="11" cm="1">
        <f t="array" ref="M121">MMULT($D121:$G121,M$87:M$90)</f>
        <v>3.3208382243557696E-2</v>
      </c>
      <c r="N121" s="11" cm="1">
        <f t="array" ref="N121">MMULT($D121:$G121,N$87:N$90)</f>
        <v>4.691455728355149E-2</v>
      </c>
      <c r="O121" s="11" cm="1">
        <f t="array" ref="O121">MMULT($D121:$G121,O$87:O$90)</f>
        <v>2.4395176515139179E-2</v>
      </c>
      <c r="P121" s="11" cm="1">
        <f t="array" ref="P121">MMULT($D121:$G121,P$87:P$90)</f>
        <v>1.7274721903178837E-3</v>
      </c>
      <c r="Q121" s="11" cm="1">
        <f t="array" ref="Q121">MMULT($D121:$G121,Q$87:Q$90)</f>
        <v>2.7517099603768809E-2</v>
      </c>
      <c r="R121" s="11" cm="1">
        <f t="array" ref="R121">MMULT($D121:$G121,R$87:R$90)</f>
        <v>2.8906776906164472E-2</v>
      </c>
      <c r="S121" s="11" cm="1">
        <f t="array" ref="S121">MMULT($D121:$G121,S$87:S$90)</f>
        <v>5.430284700270907E-2</v>
      </c>
      <c r="T121" s="11" cm="1">
        <f t="array" ref="T121">MMULT($D121:$G121,T$87:T$90)</f>
        <v>2.8091634021046211E-2</v>
      </c>
      <c r="U121" s="11" cm="1">
        <f t="array" ref="U121">MMULT($D121:$G121,U$87:U$90)</f>
        <v>1.3879297944536531E-2</v>
      </c>
      <c r="V121" s="11" cm="1">
        <f t="array" ref="V121">MMULT($D121:$G121,V$87:V$90)</f>
        <v>4.5030384420637351E-2</v>
      </c>
      <c r="W121" s="11" cm="1">
        <f t="array" ref="W121">MMULT($D121:$G121,W$87:W$90)</f>
        <v>2.2221570922507729E-2</v>
      </c>
      <c r="X121" s="11" cm="1">
        <f t="array" ref="X121">MMULT($D121:$G121,X$87:X$90)</f>
        <v>4.7113333785223253E-3</v>
      </c>
      <c r="Y121" s="11" cm="1">
        <f t="array" ref="Y121">MMULT($D121:$G121,Y$87:Y$90)</f>
        <v>4.5943070359457092E-2</v>
      </c>
      <c r="Z121" s="11" cm="1">
        <f t="array" ref="Z121">MMULT($D121:$G121,Z$87:Z$90)</f>
        <v>1.4489426903931013E-2</v>
      </c>
      <c r="AA121" s="11" cm="1">
        <f t="array" ref="AA121">MMULT($D121:$G121,AA$87:AA$90)</f>
        <v>5.35994714894319E-2</v>
      </c>
      <c r="AB121" s="11" cm="1">
        <f t="array" ref="AB121">MMULT($D121:$G121,AB$87:AB$90)</f>
        <v>5.2517113739789893E-2</v>
      </c>
      <c r="AC121" s="11" cm="1">
        <f t="array" ref="AC121">MMULT($D121:$G121,AC$87:AC$90)</f>
        <v>2.5349833047284685E-2</v>
      </c>
      <c r="AD121" s="11" cm="1">
        <f t="array" ref="AD121">MMULT($D121:$G121,AD$87:AD$90)</f>
        <v>5.6846674019771164E-2</v>
      </c>
      <c r="AE121" s="11" cm="1">
        <f t="array" ref="AE121">MMULT($D121:$G121,AE$87:AE$90)</f>
        <v>3.1354771703736115E-2</v>
      </c>
      <c r="AF121" s="11" cm="1">
        <f t="array" ref="AF121">MMULT($D121:$G121,AF$87:AF$90)</f>
        <v>1.2622768812279783E-2</v>
      </c>
      <c r="AG121" s="11" cm="1">
        <f t="array" ref="AG121">MMULT($D121:$G121,AG$87:AG$90)</f>
        <v>2.4229719135298061E-2</v>
      </c>
      <c r="AH121" s="11" cm="1">
        <f t="array" ref="AH121">MMULT($D121:$G121,AH$87:AH$90)</f>
        <v>1.3106639638269038E-2</v>
      </c>
      <c r="AI121" s="11" cm="1">
        <f t="array" ref="AI121">MMULT($D121:$G121,AI$87:AI$90)</f>
        <v>1.4080443972911263E-2</v>
      </c>
      <c r="AJ121" s="11" cm="1">
        <f t="array" ref="AJ121">MMULT($D121:$G121,AJ$87:AJ$90)</f>
        <v>3.4898927147451221E-2</v>
      </c>
      <c r="AK121" s="11" cm="1">
        <f t="array" ref="AK121">MMULT($D121:$G121,AK$87:AK$90)</f>
        <v>2.2261225826855441E-2</v>
      </c>
      <c r="AL121" s="11" cm="1">
        <f t="array" ref="AL121">MMULT($D121:$G121,AL$87:AL$90)</f>
        <v>1.0139424731515414E-2</v>
      </c>
      <c r="AM121" s="11" cm="1">
        <f t="array" ref="AM121">MMULT($D121:$G121,AM$87:AM$90)</f>
        <v>2.13899192209159E-2</v>
      </c>
      <c r="AN121" s="11" cm="1">
        <f t="array" ref="AN121">MMULT($D121:$G121,AN$87:AN$90)</f>
        <v>4.3642908522486631E-2</v>
      </c>
      <c r="AO121" s="11" cm="1">
        <f t="array" ref="AO121">MMULT($D121:$G121,AO$87:AO$90)</f>
        <v>5.8866344109291334E-2</v>
      </c>
      <c r="AP121" s="11" cm="1">
        <f t="array" ref="AP121">MMULT($D121:$G121,AP$87:AP$90)</f>
        <v>3.9659999662242582E-3</v>
      </c>
      <c r="AQ121" s="11" cm="1">
        <f t="array" ref="AQ121">MMULT($D121:$G121,AQ$87:AQ$90)</f>
        <v>2.7369935721948482E-2</v>
      </c>
      <c r="AR121" s="11" cm="1">
        <f t="array" ref="AR121">MMULT($D121:$G121,AR$87:AR$90)</f>
        <v>-4.6269422045698682E-3</v>
      </c>
      <c r="AS121" s="11" cm="1">
        <f t="array" ref="AS121">MMULT($D121:$G121,AS$87:AS$90)</f>
        <v>3.8141321903243298E-2</v>
      </c>
      <c r="AT121" s="11" cm="1">
        <f t="array" ref="AT121">MMULT($D121:$G121,AT$87:AT$90)</f>
        <v>4.4420487237378896E-2</v>
      </c>
      <c r="AU121" s="11" cm="1">
        <f t="array" ref="AU121">MMULT($D121:$G121,AU$87:AU$90)</f>
        <v>5.6705954316799118E-2</v>
      </c>
      <c r="AV121" s="11" cm="1">
        <f t="array" ref="AV121">MMULT($D121:$G121,AV$87:AV$90)</f>
        <v>5.2813282473165746E-2</v>
      </c>
      <c r="AW121" s="11" cm="1">
        <f t="array" ref="AW121">MMULT($D121:$G121,AW$87:AW$90)</f>
        <v>4.3445658792630383E-2</v>
      </c>
      <c r="AX121" s="11" cm="1">
        <f t="array" ref="AX121">MMULT($D121:$G121,AX$87:AX$90)</f>
        <v>6.9834762414579782E-2</v>
      </c>
      <c r="AY121" s="11" cm="1">
        <f t="array" ref="AY121">MMULT($D121:$G121,AY$87:AY$90)</f>
        <v>5.9551509915641399E-2</v>
      </c>
      <c r="AZ121" s="11" cm="1">
        <f t="array" ref="AZ121">MMULT($D121:$G121,AZ$87:AZ$90)</f>
        <v>2.170020918816086E-2</v>
      </c>
      <c r="BA121" s="11" cm="1">
        <f t="array" ref="BA121">MMULT($D121:$G121,BA$87:BA$90)</f>
        <v>4.2835647449438984E-2</v>
      </c>
      <c r="BB121" s="11" cm="1">
        <f t="array" ref="BB121">MMULT($D121:$G121,BB$87:BB$90)</f>
        <v>2.4517238264600387E-2</v>
      </c>
      <c r="BC121" s="11" cm="1">
        <f t="array" ref="BC121">MMULT($D121:$G121,BC$87:BC$90)</f>
        <v>5.1098902596470555E-2</v>
      </c>
      <c r="BD121" s="11" cm="1">
        <f t="array" ref="BD121">MMULT($D121:$G121,BD$87:BD$90)</f>
        <v>1.091971604446767E-2</v>
      </c>
      <c r="BE121" s="11" cm="1">
        <f t="array" ref="BE121">MMULT($D121:$G121,BE$87:BE$90)</f>
        <v>4.1699188851781727E-2</v>
      </c>
    </row>
    <row r="122" spans="3:57" x14ac:dyDescent="0.3">
      <c r="D122" s="9">
        <v>9.9125490027139884E-2</v>
      </c>
      <c r="E122" s="9">
        <v>2.3164913490831829E-2</v>
      </c>
      <c r="F122" s="9">
        <v>8.4918701862945145E-2</v>
      </c>
      <c r="G122" s="9">
        <v>-2.4734982332155542E-2</v>
      </c>
      <c r="H122" s="21" cm="1">
        <f t="array" ref="H122">MMULT($D122:$G122,H$87:H$90)</f>
        <v>4.5618530762190329E-2</v>
      </c>
      <c r="I122" s="11" cm="1">
        <f t="array" ref="I122">MMULT($D122:$G122,I$87:I$90)</f>
        <v>3.3871994991261548E-2</v>
      </c>
      <c r="J122" s="11" cm="1">
        <f t="array" ref="J122">MMULT($D122:$G122,J$87:J$90)</f>
        <v>4.1759963017521655E-2</v>
      </c>
      <c r="K122" s="11" cm="1">
        <f t="array" ref="K122">MMULT($D122:$G122,K$87:K$90)</f>
        <v>4.5653761222557973E-2</v>
      </c>
      <c r="L122" s="11" cm="1">
        <f t="array" ref="L122">MMULT($D122:$G122,L$87:L$90)</f>
        <v>6.2771224456516728E-2</v>
      </c>
      <c r="M122" s="11" cm="1">
        <f t="array" ref="M122">MMULT($D122:$G122,M$87:M$90)</f>
        <v>5.0300095587421427E-2</v>
      </c>
      <c r="N122" s="11" cm="1">
        <f t="array" ref="N122">MMULT($D122:$G122,N$87:N$90)</f>
        <v>3.1254250335943465E-2</v>
      </c>
      <c r="O122" s="11" cm="1">
        <f t="array" ref="O122">MMULT($D122:$G122,O$87:O$90)</f>
        <v>4.723213110994734E-2</v>
      </c>
      <c r="P122" s="11" cm="1">
        <f t="array" ref="P122">MMULT($D122:$G122,P$87:P$90)</f>
        <v>7.8896322182911038E-2</v>
      </c>
      <c r="Q122" s="11" cm="1">
        <f t="array" ref="Q122">MMULT($D122:$G122,Q$87:Q$90)</f>
        <v>5.2176300054896728E-2</v>
      </c>
      <c r="R122" s="11" cm="1">
        <f t="array" ref="R122">MMULT($D122:$G122,R$87:R$90)</f>
        <v>5.4292195874391519E-2</v>
      </c>
      <c r="S122" s="11" cm="1">
        <f t="array" ref="S122">MMULT($D122:$G122,S$87:S$90)</f>
        <v>1.3692511919697694E-2</v>
      </c>
      <c r="T122" s="11" cm="1">
        <f t="array" ref="T122">MMULT($D122:$G122,T$87:T$90)</f>
        <v>5.3806661797869103E-2</v>
      </c>
      <c r="U122" s="11" cm="1">
        <f t="array" ref="U122">MMULT($D122:$G122,U$87:U$90)</f>
        <v>7.5950126279046917E-2</v>
      </c>
      <c r="V122" s="11" cm="1">
        <f t="array" ref="V122">MMULT($D122:$G122,V$87:V$90)</f>
        <v>3.0117311221697019E-2</v>
      </c>
      <c r="W122" s="11" cm="1">
        <f t="array" ref="W122">MMULT($D122:$G122,W$87:W$90)</f>
        <v>6.0336092488280015E-2</v>
      </c>
      <c r="X122" s="11" cm="1">
        <f t="array" ref="X122">MMULT($D122:$G122,X$87:X$90)</f>
        <v>6.9191331495206163E-2</v>
      </c>
      <c r="Y122" s="11" cm="1">
        <f t="array" ref="Y122">MMULT($D122:$G122,Y$87:Y$90)</f>
        <v>3.2505148279494363E-2</v>
      </c>
      <c r="Z122" s="11" cm="1">
        <f t="array" ref="Z122">MMULT($D122:$G122,Z$87:Z$90)</f>
        <v>6.94196992812907E-2</v>
      </c>
      <c r="AA122" s="11" cm="1">
        <f t="array" ref="AA122">MMULT($D122:$G122,AA$87:AA$90)</f>
        <v>2.0241455625351866E-2</v>
      </c>
      <c r="AB122" s="11" cm="1">
        <f t="array" ref="AB122">MMULT($D122:$G122,AB$87:AB$90)</f>
        <v>1.8254184804281801E-2</v>
      </c>
      <c r="AC122" s="11" cm="1">
        <f t="array" ref="AC122">MMULT($D122:$G122,AC$87:AC$90)</f>
        <v>4.5272629326204947E-2</v>
      </c>
      <c r="AD122" s="11" cm="1">
        <f t="array" ref="AD122">MMULT($D122:$G122,AD$87:AD$90)</f>
        <v>1.5006280107308659E-2</v>
      </c>
      <c r="AE122" s="11" cm="1">
        <f t="array" ref="AE122">MMULT($D122:$G122,AE$87:AE$90)</f>
        <v>4.8335199826792442E-2</v>
      </c>
      <c r="AF122" s="11" cm="1">
        <f t="array" ref="AF122">MMULT($D122:$G122,AF$87:AF$90)</f>
        <v>5.5731402900731454E-2</v>
      </c>
      <c r="AG122" s="11" cm="1">
        <f t="array" ref="AG122">MMULT($D122:$G122,AG$87:AG$90)</f>
        <v>6.1353426076618159E-2</v>
      </c>
      <c r="AH122" s="11" cm="1">
        <f t="array" ref="AH122">MMULT($D122:$G122,AH$87:AH$90)</f>
        <v>7.3627088838006075E-2</v>
      </c>
      <c r="AI122" s="11" cm="1">
        <f t="array" ref="AI122">MMULT($D122:$G122,AI$87:AI$90)</f>
        <v>7.5185253544528291E-2</v>
      </c>
      <c r="AJ122" s="11" cm="1">
        <f t="array" ref="AJ122">MMULT($D122:$G122,AJ$87:AJ$90)</f>
        <v>4.2069154064570749E-2</v>
      </c>
      <c r="AK122" s="11" cm="1">
        <f t="array" ref="AK122">MMULT($D122:$G122,AK$87:AK$90)</f>
        <v>6.2539144703687655E-2</v>
      </c>
      <c r="AL122" s="11" cm="1">
        <f t="array" ref="AL122">MMULT($D122:$G122,AL$87:AL$90)</f>
        <v>8.0046320973787263E-2</v>
      </c>
      <c r="AM122" s="11" cm="1">
        <f t="array" ref="AM122">MMULT($D122:$G122,AM$87:AM$90)</f>
        <v>4.982686010890354E-2</v>
      </c>
      <c r="AN122" s="11" cm="1">
        <f t="array" ref="AN122">MMULT($D122:$G122,AN$87:AN$90)</f>
        <v>2.8225360034380594E-2</v>
      </c>
      <c r="AO122" s="11" cm="1">
        <f t="array" ref="AO122">MMULT($D122:$G122,AO$87:AO$90)</f>
        <v>1.4932210173819672E-2</v>
      </c>
      <c r="AP122" s="11" cm="1">
        <f t="array" ref="AP122">MMULT($D122:$G122,AP$87:AP$90)</f>
        <v>7.1302775580577668E-2</v>
      </c>
      <c r="AQ122" s="11" cm="1">
        <f t="array" ref="AQ122">MMULT($D122:$G122,AQ$87:AQ$90)</f>
        <v>4.5207831068135119E-2</v>
      </c>
      <c r="AR122" s="11" cm="1">
        <f t="array" ref="AR122">MMULT($D122:$G122,AR$87:AR$90)</f>
        <v>8.0527917450356742E-2</v>
      </c>
      <c r="AS122" s="11" cm="1">
        <f t="array" ref="AS122">MMULT($D122:$G122,AS$87:AS$90)</f>
        <v>4.0657841275299575E-2</v>
      </c>
      <c r="AT122" s="11" cm="1">
        <f t="array" ref="AT122">MMULT($D122:$G122,AT$87:AT$90)</f>
        <v>2.7229166894260044E-2</v>
      </c>
      <c r="AU122" s="11" cm="1">
        <f t="array" ref="AU122">MMULT($D122:$G122,AU$87:AU$90)</f>
        <v>2.230837060033794E-2</v>
      </c>
      <c r="AV122" s="11" cm="1">
        <f t="array" ref="AV122">MMULT($D122:$G122,AV$87:AV$90)</f>
        <v>2.7035667506334096E-2</v>
      </c>
      <c r="AW122" s="11" cm="1">
        <f t="array" ref="AW122">MMULT($D122:$G122,AW$87:AW$90)</f>
        <v>3.8529997518181709E-2</v>
      </c>
      <c r="AX122" s="11" cm="1">
        <f t="array" ref="AX122">MMULT($D122:$G122,AX$87:AX$90)</f>
        <v>4.3930798881682363E-3</v>
      </c>
      <c r="AY122" s="11" cm="1">
        <f t="array" ref="AY122">MMULT($D122:$G122,AY$87:AY$90)</f>
        <v>1.9699662813154072E-2</v>
      </c>
      <c r="AZ122" s="11" cm="1">
        <f t="array" ref="AZ122">MMULT($D122:$G122,AZ$87:AZ$90)</f>
        <v>6.208041370421237E-2</v>
      </c>
      <c r="BA122" s="11" cm="1">
        <f t="array" ref="BA122">MMULT($D122:$G122,BA$87:BA$90)</f>
        <v>2.8528451591069294E-2</v>
      </c>
      <c r="BB122" s="11" cm="1">
        <f t="array" ref="BB122">MMULT($D122:$G122,BB$87:BB$90)</f>
        <v>5.3658720552668779E-2</v>
      </c>
      <c r="BC122" s="11" cm="1">
        <f t="array" ref="BC122">MMULT($D122:$G122,BC$87:BC$90)</f>
        <v>1.9507875742164775E-2</v>
      </c>
      <c r="BD122" s="11" cm="1">
        <f t="array" ref="BD122">MMULT($D122:$G122,BD$87:BD$90)</f>
        <v>5.6849530988944158E-2</v>
      </c>
      <c r="BE122" s="11" cm="1">
        <f t="array" ref="BE122">MMULT($D122:$G122,BE$87:BE$90)</f>
        <v>2.9620701472025765E-2</v>
      </c>
    </row>
    <row r="123" spans="3:57" x14ac:dyDescent="0.3">
      <c r="D123" s="9">
        <v>-6.0045465234773054E-2</v>
      </c>
      <c r="E123" s="9">
        <v>-7.5842696629213613E-3</v>
      </c>
      <c r="F123" s="9">
        <v>2.930647412171572E-2</v>
      </c>
      <c r="G123" s="9">
        <v>-1.0869565217391242E-2</v>
      </c>
      <c r="H123" s="21" cm="1">
        <f t="array" ref="H123">MMULT($D123:$G123,H$87:H$90)</f>
        <v>-1.2298206498342484E-2</v>
      </c>
      <c r="I123" s="11" cm="1">
        <f t="array" ref="I123">MMULT($D123:$G123,I$87:I$90)</f>
        <v>-5.6185697307439032E-3</v>
      </c>
      <c r="J123" s="11" cm="1">
        <f t="array" ref="J123">MMULT($D123:$G123,J$87:J$90)</f>
        <v>-6.0093311701381906E-3</v>
      </c>
      <c r="K123" s="11" cm="1">
        <f t="array" ref="K123">MMULT($D123:$G123,K$87:K$90)</f>
        <v>-5.3878125308315017E-3</v>
      </c>
      <c r="L123" s="11" cm="1">
        <f t="array" ref="L123">MMULT($D123:$G123,L$87:L$90)</f>
        <v>-3.2311748278769037E-2</v>
      </c>
      <c r="M123" s="11" cm="1">
        <f t="array" ref="M123">MMULT($D123:$G123,M$87:M$90)</f>
        <v>-3.5567352573747137E-2</v>
      </c>
      <c r="N123" s="11" cm="1">
        <f t="array" ref="N123">MMULT($D123:$G123,N$87:N$90)</f>
        <v>-1.9232253626738183E-2</v>
      </c>
      <c r="O123" s="11" cm="1">
        <f t="array" ref="O123">MMULT($D123:$G123,O$87:O$90)</f>
        <v>1.1254323917021625E-2</v>
      </c>
      <c r="P123" s="11" cm="1">
        <f t="array" ref="P123">MMULT($D123:$G123,P$87:P$90)</f>
        <v>-1.4198964583497013E-2</v>
      </c>
      <c r="Q123" s="11" cm="1">
        <f t="array" ref="Q123">MMULT($D123:$G123,Q$87:Q$90)</f>
        <v>-4.2268858856789023E-3</v>
      </c>
      <c r="R123" s="11" cm="1">
        <f t="array" ref="R123">MMULT($D123:$G123,R$87:R$90)</f>
        <v>-3.1029194293860994E-2</v>
      </c>
      <c r="S123" s="11" cm="1">
        <f t="array" ref="S123">MMULT($D123:$G123,S$87:S$90)</f>
        <v>-1.1651817526839249E-2</v>
      </c>
      <c r="T123" s="11" cm="1">
        <f t="array" ref="T123">MMULT($D123:$G123,T$87:T$90)</f>
        <v>-1.3981779561959545E-2</v>
      </c>
      <c r="U123" s="11" cm="1">
        <f t="array" ref="U123">MMULT($D123:$G123,U$87:U$90)</f>
        <v>-3.5162615394245741E-2</v>
      </c>
      <c r="V123" s="11" cm="1">
        <f t="array" ref="V123">MMULT($D123:$G123,V$87:V$90)</f>
        <v>-1.1511899772371704E-2</v>
      </c>
      <c r="W123" s="11" cm="1">
        <f t="array" ref="W123">MMULT($D123:$G123,W$87:W$90)</f>
        <v>-8.6123814647359413E-3</v>
      </c>
      <c r="X123" s="11" cm="1">
        <f t="array" ref="X123">MMULT($D123:$G123,X$87:X$90)</f>
        <v>7.4043097397774515E-3</v>
      </c>
      <c r="Y123" s="11" cm="1">
        <f t="array" ref="Y123">MMULT($D123:$G123,Y$87:Y$90)</f>
        <v>-2.555112200342075E-3</v>
      </c>
      <c r="Z123" s="11" cm="1">
        <f t="array" ref="Z123">MMULT($D123:$G123,Z$87:Z$90)</f>
        <v>-3.1529024501236139E-2</v>
      </c>
      <c r="AA123" s="11" cm="1">
        <f t="array" ref="AA123">MMULT($D123:$G123,AA$87:AA$90)</f>
        <v>-2.1033294298279118E-2</v>
      </c>
      <c r="AB123" s="11" cm="1">
        <f t="array" ref="AB123">MMULT($D123:$G123,AB$87:AB$90)</f>
        <v>-7.7351454383418408E-3</v>
      </c>
      <c r="AC123" s="11" cm="1">
        <f t="array" ref="AC123">MMULT($D123:$G123,AC$87:AC$90)</f>
        <v>1.3790690283579606E-3</v>
      </c>
      <c r="AD123" s="11" cm="1">
        <f t="array" ref="AD123">MMULT($D123:$G123,AD$87:AD$90)</f>
        <v>-2.2181017117439934E-2</v>
      </c>
      <c r="AE123" s="11" cm="1">
        <f t="array" ref="AE123">MMULT($D123:$G123,AE$87:AE$90)</f>
        <v>-2.4146598362675825E-2</v>
      </c>
      <c r="AF123" s="11" cm="1">
        <f t="array" ref="AF123">MMULT($D123:$G123,AF$87:AF$90)</f>
        <v>8.3811481695717505E-3</v>
      </c>
      <c r="AG123" s="11" cm="1">
        <f t="array" ref="AG123">MMULT($D123:$G123,AG$87:AG$90)</f>
        <v>-3.8617519754356268E-2</v>
      </c>
      <c r="AH123" s="11" cm="1">
        <f t="array" ref="AH123">MMULT($D123:$G123,AH$87:AH$90)</f>
        <v>-2.8130505005932008E-2</v>
      </c>
      <c r="AI123" s="11" cm="1">
        <f t="array" ref="AI123">MMULT($D123:$G123,AI$87:AI$90)</f>
        <v>-4.1870155274938294E-2</v>
      </c>
      <c r="AJ123" s="11" cm="1">
        <f t="array" ref="AJ123">MMULT($D123:$G123,AJ$87:AJ$90)</f>
        <v>-4.7622399812170084E-3</v>
      </c>
      <c r="AK123" s="11" cm="1">
        <f t="array" ref="AK123">MMULT($D123:$G123,AK$87:AK$90)</f>
        <v>-3.1029268237167354E-2</v>
      </c>
      <c r="AL123" s="11" cm="1">
        <f t="array" ref="AL123">MMULT($D123:$G123,AL$87:AL$90)</f>
        <v>-4.1169967524365282E-2</v>
      </c>
      <c r="AM123" s="11" cm="1">
        <f t="array" ref="AM123">MMULT($D123:$G123,AM$87:AM$90)</f>
        <v>-3.7292132222017721E-3</v>
      </c>
      <c r="AN123" s="11" cm="1">
        <f t="array" ref="AN123">MMULT($D123:$G123,AN$87:AN$90)</f>
        <v>-7.7511210341039121E-3</v>
      </c>
      <c r="AO123" s="11" cm="1">
        <f t="array" ref="AO123">MMULT($D123:$G123,AO$87:AO$90)</f>
        <v>-1.4257558338009148E-2</v>
      </c>
      <c r="AP123" s="11" cm="1">
        <f t="array" ref="AP123">MMULT($D123:$G123,AP$87:AP$90)</f>
        <v>5.1536510593091864E-3</v>
      </c>
      <c r="AQ123" s="11" cm="1">
        <f t="array" ref="AQ123">MMULT($D123:$G123,AQ$87:AQ$90)</f>
        <v>-1.0372867300610284E-2</v>
      </c>
      <c r="AR123" s="11" cm="1">
        <f t="array" ref="AR123">MMULT($D123:$G123,AR$87:AR$90)</f>
        <v>2.5511738846283648E-3</v>
      </c>
      <c r="AS123" s="11" cm="1">
        <f t="array" ref="AS123">MMULT($D123:$G123,AS$87:AS$90)</f>
        <v>-3.170515086157373E-2</v>
      </c>
      <c r="AT123" s="11" cm="1">
        <f t="array" ref="AT123">MMULT($D123:$G123,AT$87:AT$90)</f>
        <v>-4.6758310197182219E-5</v>
      </c>
      <c r="AU123" s="11" cm="1">
        <f t="array" ref="AU123">MMULT($D123:$G123,AU$87:AU$90)</f>
        <v>-1.348330726497462E-2</v>
      </c>
      <c r="AV123" s="11" cm="1">
        <f t="array" ref="AV123">MMULT($D123:$G123,AV$87:AV$90)</f>
        <v>-2.0308438941377915E-2</v>
      </c>
      <c r="AW123" s="11" cm="1">
        <f t="array" ref="AW123">MMULT($D123:$G123,AW$87:AW$90)</f>
        <v>5.8669101320326495E-5</v>
      </c>
      <c r="AX123" s="11" cm="1">
        <f t="array" ref="AX123">MMULT($D123:$G123,AX$87:AX$90)</f>
        <v>-1.2436359110437232E-2</v>
      </c>
      <c r="AY123" s="11" cm="1">
        <f t="array" ref="AY123">MMULT($D123:$G123,AY$87:AY$90)</f>
        <v>-1.2866206448955742E-2</v>
      </c>
      <c r="AZ123" s="11" cm="1">
        <f t="array" ref="AZ123">MMULT($D123:$G123,AZ$87:AZ$90)</f>
        <v>-3.2446402652780752E-2</v>
      </c>
      <c r="BA123" s="11" cm="1">
        <f t="array" ref="BA123">MMULT($D123:$G123,BA$87:BA$90)</f>
        <v>-1.6307165608274679E-2</v>
      </c>
      <c r="BB123" s="11" cm="1">
        <f t="array" ref="BB123">MMULT($D123:$G123,BB$87:BB$90)</f>
        <v>5.2844008543835022E-3</v>
      </c>
      <c r="BC123" s="11" cm="1">
        <f t="array" ref="BC123">MMULT($D123:$G123,BC$87:BC$90)</f>
        <v>-1.5908612520228956E-2</v>
      </c>
      <c r="BD123" s="11" cm="1">
        <f t="array" ref="BD123">MMULT($D123:$G123,BD$87:BD$90)</f>
        <v>1.5861284559192133E-2</v>
      </c>
      <c r="BE123" s="11" cm="1">
        <f t="array" ref="BE123">MMULT($D123:$G123,BE$87:BE$90)</f>
        <v>-5.8960728370024218E-3</v>
      </c>
    </row>
    <row r="124" spans="3:57" x14ac:dyDescent="0.3">
      <c r="D124" s="9">
        <v>3.3316654157284686E-2</v>
      </c>
      <c r="E124" s="9">
        <v>-7.4893857911123796E-2</v>
      </c>
      <c r="F124" s="9">
        <v>5.7592548927139831E-2</v>
      </c>
      <c r="G124" s="9">
        <v>6.5934065934065922E-2</v>
      </c>
      <c r="H124" s="21" cm="1">
        <f t="array" ref="H124">MMULT($D124:$G124,H$87:H$90)</f>
        <v>2.0487352776841661E-2</v>
      </c>
      <c r="I124" s="11" cm="1">
        <f t="array" ref="I124">MMULT($D124:$G124,I$87:I$90)</f>
        <v>5.7119258978441355E-3</v>
      </c>
      <c r="J124" s="11" cm="1">
        <f t="array" ref="J124">MMULT($D124:$G124,J$87:J$90)</f>
        <v>-1.9614573748534252E-2</v>
      </c>
      <c r="K124" s="11" cm="1">
        <f t="array" ref="K124">MMULT($D124:$G124,K$87:K$90)</f>
        <v>4.4781823555141265E-2</v>
      </c>
      <c r="L124" s="11" cm="1">
        <f t="array" ref="L124">MMULT($D124:$G124,L$87:L$90)</f>
        <v>1.4051389701621616E-2</v>
      </c>
      <c r="M124" s="11" cm="1">
        <f t="array" ref="M124">MMULT($D124:$G124,M$87:M$90)</f>
        <v>2.5359560177344025E-2</v>
      </c>
      <c r="N124" s="11" cm="1">
        <f t="array" ref="N124">MMULT($D124:$G124,N$87:N$90)</f>
        <v>1.46898194683581E-2</v>
      </c>
      <c r="O124" s="11" cm="1">
        <f t="array" ref="O124">MMULT($D124:$G124,O$87:O$90)</f>
        <v>2.2069068010222515E-2</v>
      </c>
      <c r="P124" s="11" cm="1">
        <f t="array" ref="P124">MMULT($D124:$G124,P$87:P$90)</f>
        <v>3.6296668945715198E-2</v>
      </c>
      <c r="Q124" s="11" cm="1">
        <f t="array" ref="Q124">MMULT($D124:$G124,Q$87:Q$90)</f>
        <v>6.5888257675017319E-4</v>
      </c>
      <c r="R124" s="11" cm="1">
        <f t="array" ref="R124">MMULT($D124:$G124,R$87:R$90)</f>
        <v>2.3780976982487736E-2</v>
      </c>
      <c r="S124" s="11" cm="1">
        <f t="array" ref="S124">MMULT($D124:$G124,S$87:S$90)</f>
        <v>5.0236701921367199E-2</v>
      </c>
      <c r="T124" s="11" cm="1">
        <f t="array" ref="T124">MMULT($D124:$G124,T$87:T$90)</f>
        <v>4.0019173740423039E-3</v>
      </c>
      <c r="U124" s="11" cm="1">
        <f t="array" ref="U124">MMULT($D124:$G124,U$87:U$90)</f>
        <v>9.0213548835701846E-3</v>
      </c>
      <c r="V124" s="11" cm="1">
        <f t="array" ref="V124">MMULT($D124:$G124,V$87:V$90)</f>
        <v>2.0281140928837867E-2</v>
      </c>
      <c r="W124" s="11" cm="1">
        <f t="array" ref="W124">MMULT($D124:$G124,W$87:W$90)</f>
        <v>-2.6508196617906895E-3</v>
      </c>
      <c r="X124" s="11" cm="1">
        <f t="array" ref="X124">MMULT($D124:$G124,X$87:X$90)</f>
        <v>3.4751993394352532E-2</v>
      </c>
      <c r="Y124" s="11" cm="1">
        <f t="array" ref="Y124">MMULT($D124:$G124,Y$87:Y$90)</f>
        <v>-1.2857876022710884E-2</v>
      </c>
      <c r="Z124" s="11" cm="1">
        <f t="array" ref="Z124">MMULT($D124:$G124,Z$87:Z$90)</f>
        <v>3.4473835276657101E-2</v>
      </c>
      <c r="AA124" s="11" cm="1">
        <f t="array" ref="AA124">MMULT($D124:$G124,AA$87:AA$90)</f>
        <v>3.4569592094592157E-2</v>
      </c>
      <c r="AB124" s="11" cm="1">
        <f t="array" ref="AB124">MMULT($D124:$G124,AB$87:AB$90)</f>
        <v>3.0640908320456912E-2</v>
      </c>
      <c r="AC124" s="11" cm="1">
        <f t="array" ref="AC124">MMULT($D124:$G124,AC$87:AC$90)</f>
        <v>4.2544403501158873E-2</v>
      </c>
      <c r="AD124" s="11" cm="1">
        <f t="array" ref="AD124">MMULT($D124:$G124,AD$87:AD$90)</f>
        <v>4.4051389610264044E-2</v>
      </c>
      <c r="AE124" s="11" cm="1">
        <f t="array" ref="AE124">MMULT($D124:$G124,AE$87:AE$90)</f>
        <v>2.9236165038832973E-2</v>
      </c>
      <c r="AF124" s="11" cm="1">
        <f t="array" ref="AF124">MMULT($D124:$G124,AF$87:AF$90)</f>
        <v>5.555221957701903E-2</v>
      </c>
      <c r="AG124" s="11" cm="1">
        <f t="array" ref="AG124">MMULT($D124:$G124,AG$87:AG$90)</f>
        <v>2.7649303329215287E-2</v>
      </c>
      <c r="AH124" s="11" cm="1">
        <f t="array" ref="AH124">MMULT($D124:$G124,AH$87:AH$90)</f>
        <v>1.5070349832207557E-2</v>
      </c>
      <c r="AI124" s="11" cm="1">
        <f t="array" ref="AI124">MMULT($D124:$G124,AI$87:AI$90)</f>
        <v>2.2713921575785986E-2</v>
      </c>
      <c r="AJ124" s="11" cm="1">
        <f t="array" ref="AJ124">MMULT($D124:$G124,AJ$87:AJ$90)</f>
        <v>9.19214331078568E-3</v>
      </c>
      <c r="AK124" s="11" cm="1">
        <f t="array" ref="AK124">MMULT($D124:$G124,AK$87:AK$90)</f>
        <v>2.1470684318471531E-2</v>
      </c>
      <c r="AL124" s="11" cm="1">
        <f t="array" ref="AL124">MMULT($D124:$G124,AL$87:AL$90)</f>
        <v>2.037131871489126E-2</v>
      </c>
      <c r="AM124" s="11" cm="1">
        <f t="array" ref="AM124">MMULT($D124:$G124,AM$87:AM$90)</f>
        <v>5.1367212808497494E-2</v>
      </c>
      <c r="AN124" s="11" cm="1">
        <f t="array" ref="AN124">MMULT($D124:$G124,AN$87:AN$90)</f>
        <v>3.3194626836626016E-2</v>
      </c>
      <c r="AO124" s="11" cm="1">
        <f t="array" ref="AO124">MMULT($D124:$G124,AO$87:AO$90)</f>
        <v>1.8832845128548808E-2</v>
      </c>
      <c r="AP124" s="11" cm="1">
        <f t="array" ref="AP124">MMULT($D124:$G124,AP$87:AP$90)</f>
        <v>3.173723634238021E-2</v>
      </c>
      <c r="AQ124" s="11" cm="1">
        <f t="array" ref="AQ124">MMULT($D124:$G124,AQ$87:AQ$90)</f>
        <v>4.9086856109037097E-2</v>
      </c>
      <c r="AR124" s="11" cm="1">
        <f t="array" ref="AR124">MMULT($D124:$G124,AR$87:AR$90)</f>
        <v>4.0710563447576106E-2</v>
      </c>
      <c r="AS124" s="11" cm="1">
        <f t="array" ref="AS124">MMULT($D124:$G124,AS$87:AS$90)</f>
        <v>3.9804324954407957E-2</v>
      </c>
      <c r="AT124" s="11" cm="1">
        <f t="array" ref="AT124">MMULT($D124:$G124,AT$87:AT$90)</f>
        <v>2.1175922915485843E-2</v>
      </c>
      <c r="AU124" s="11" cm="1">
        <f t="array" ref="AU124">MMULT($D124:$G124,AU$87:AU$90)</f>
        <v>-8.4752543401868559E-3</v>
      </c>
      <c r="AV124" s="11" cm="1">
        <f t="array" ref="AV124">MMULT($D124:$G124,AV$87:AV$90)</f>
        <v>1.7644613833169079E-3</v>
      </c>
      <c r="AW124" s="11" cm="1">
        <f t="array" ref="AW124">MMULT($D124:$G124,AW$87:AW$90)</f>
        <v>-3.3720394142315098E-2</v>
      </c>
      <c r="AX124" s="11" cm="1">
        <f t="array" ref="AX124">MMULT($D124:$G124,AX$87:AX$90)</f>
        <v>3.1425204657400743E-3</v>
      </c>
      <c r="AY124" s="11" cm="1">
        <f t="array" ref="AY124">MMULT($D124:$G124,AY$87:AY$90)</f>
        <v>-1.3455938718941202E-2</v>
      </c>
      <c r="AZ124" s="11" cm="1">
        <f t="array" ref="AZ124">MMULT($D124:$G124,AZ$87:AZ$90)</f>
        <v>2.9791692459067799E-2</v>
      </c>
      <c r="BA124" s="11" cm="1">
        <f t="array" ref="BA124">MMULT($D124:$G124,BA$87:BA$90)</f>
        <v>5.0514184260220966E-2</v>
      </c>
      <c r="BB124" s="11" cm="1">
        <f t="array" ref="BB124">MMULT($D124:$G124,BB$87:BB$90)</f>
        <v>-3.6886750623961132E-3</v>
      </c>
      <c r="BC124" s="11" cm="1">
        <f t="array" ref="BC124">MMULT($D124:$G124,BC$87:BC$90)</f>
        <v>4.6092357029729039E-2</v>
      </c>
      <c r="BD124" s="11" cm="1">
        <f t="array" ref="BD124">MMULT($D124:$G124,BD$87:BD$90)</f>
        <v>4.8229626986513785E-2</v>
      </c>
      <c r="BE124" s="11" cm="1">
        <f t="array" ref="BE124">MMULT($D124:$G124,BE$87:BE$90)</f>
        <v>3.4999324440391263E-2</v>
      </c>
    </row>
    <row r="125" spans="3:57" x14ac:dyDescent="0.3">
      <c r="D125" s="9">
        <v>6.4969129575076501E-3</v>
      </c>
      <c r="E125" s="9">
        <v>-6.2171092889487189E-2</v>
      </c>
      <c r="F125" s="9">
        <v>-5.3675937796109463E-2</v>
      </c>
      <c r="G125" s="9">
        <v>3.4364261168384758E-2</v>
      </c>
      <c r="H125" s="21" cm="1">
        <f t="array" ref="H125">MMULT($D125:$G125,H$87:H$90)</f>
        <v>-1.8746464139926061E-2</v>
      </c>
      <c r="I125" s="11" cm="1">
        <f t="array" ref="I125">MMULT($D125:$G125,I$87:I$90)</f>
        <v>-2.7090541707791235E-2</v>
      </c>
      <c r="J125" s="11" cm="1">
        <f t="array" ref="J125">MMULT($D125:$G125,J$87:J$90)</f>
        <v>-4.3264726615518521E-2</v>
      </c>
      <c r="K125" s="11" cm="1">
        <f t="array" ref="K125">MMULT($D125:$G125,K$87:K$90)</f>
        <v>-1.2349805757545473E-2</v>
      </c>
      <c r="L125" s="11" cm="1">
        <f t="array" ref="L125">MMULT($D125:$G125,L$87:L$90)</f>
        <v>-1.1930668366632421E-2</v>
      </c>
      <c r="M125" s="11" cm="1">
        <f t="array" ref="M125">MMULT($D125:$G125,M$87:M$90)</f>
        <v>2.259085894653636E-3</v>
      </c>
      <c r="N125" s="11" cm="1">
        <f t="array" ref="N125">MMULT($D125:$G125,N$87:N$90)</f>
        <v>-9.2871484445823296E-3</v>
      </c>
      <c r="O125" s="11" cm="1">
        <f t="array" ref="O125">MMULT($D125:$G125,O$87:O$90)</f>
        <v>-3.9447376562163163E-2</v>
      </c>
      <c r="P125" s="11" cm="1">
        <f t="array" ref="P125">MMULT($D125:$G125,P$87:P$90)</f>
        <v>-2.3565886438924166E-2</v>
      </c>
      <c r="Q125" s="11" cm="1">
        <f t="array" ref="Q125">MMULT($D125:$G125,Q$87:Q$90)</f>
        <v>-3.8977904844875386E-2</v>
      </c>
      <c r="R125" s="11" cm="1">
        <f t="array" ref="R125">MMULT($D125:$G125,R$87:R$90)</f>
        <v>-4.3197988033266826E-3</v>
      </c>
      <c r="S125" s="11" cm="1">
        <f t="array" ref="S125">MMULT($D125:$G125,S$87:S$90)</f>
        <v>1.0058283991885675E-2</v>
      </c>
      <c r="T125" s="11" cm="1">
        <f t="array" ref="T125">MMULT($D125:$G125,T$87:T$90)</f>
        <v>-2.9355726619624534E-2</v>
      </c>
      <c r="U125" s="11" cm="1">
        <f t="array" ref="U125">MMULT($D125:$G125,U$87:U$90)</f>
        <v>-1.7803021831725011E-2</v>
      </c>
      <c r="V125" s="11" cm="1">
        <f t="array" ref="V125">MMULT($D125:$G125,V$87:V$90)</f>
        <v>-1.2726155720223408E-2</v>
      </c>
      <c r="W125" s="11" cm="1">
        <f t="array" ref="W125">MMULT($D125:$G125,W$87:W$90)</f>
        <v>-4.0399668797796405E-2</v>
      </c>
      <c r="X125" s="11" cm="1">
        <f t="array" ref="X125">MMULT($D125:$G125,X$87:X$90)</f>
        <v>-3.9174972162753272E-2</v>
      </c>
      <c r="Y125" s="11" cm="1">
        <f t="array" ref="Y125">MMULT($D125:$G125,Y$87:Y$90)</f>
        <v>-3.8762529150097196E-2</v>
      </c>
      <c r="Z125" s="11" cm="1">
        <f t="array" ref="Z125">MMULT($D125:$G125,Z$87:Z$90)</f>
        <v>-5.0259453442398939E-3</v>
      </c>
      <c r="AA125" s="11" cm="1">
        <f t="array" ref="AA125">MMULT($D125:$G125,AA$87:AA$90)</f>
        <v>7.3920892078181803E-3</v>
      </c>
      <c r="AB125" s="11" cm="1">
        <f t="array" ref="AB125">MMULT($D125:$G125,AB$87:AB$90)</f>
        <v>-5.5047958350575577E-3</v>
      </c>
      <c r="AC125" s="11" cm="1">
        <f t="array" ref="AC125">MMULT($D125:$G125,AC$87:AC$90)</f>
        <v>-1.9312533825725391E-2</v>
      </c>
      <c r="AD125" s="11" cm="1">
        <f t="array" ref="AD125">MMULT($D125:$G125,AD$87:AD$90)</f>
        <v>1.5594722773392982E-2</v>
      </c>
      <c r="AE125" s="11" cm="1">
        <f t="array" ref="AE125">MMULT($D125:$G125,AE$87:AE$90)</f>
        <v>-4.9678688873471873E-3</v>
      </c>
      <c r="AF125" s="11" cm="1">
        <f t="array" ref="AF125">MMULT($D125:$G125,AF$87:AF$90)</f>
        <v>-2.3398590626966264E-2</v>
      </c>
      <c r="AG125" s="11" cm="1">
        <f t="array" ref="AG125">MMULT($D125:$G125,AG$87:AG$90)</f>
        <v>1.2693162787393956E-3</v>
      </c>
      <c r="AH125" s="11" cm="1">
        <f t="array" ref="AH125">MMULT($D125:$G125,AH$87:AH$90)</f>
        <v>-1.9876323852914986E-2</v>
      </c>
      <c r="AI125" s="11" cm="1">
        <f t="array" ref="AI125">MMULT($D125:$G125,AI$87:AI$90)</f>
        <v>-4.4866716347467736E-3</v>
      </c>
      <c r="AJ125" s="11" cm="1">
        <f t="array" ref="AJ125">MMULT($D125:$G125,AJ$87:AJ$90)</f>
        <v>-2.966105387099283E-2</v>
      </c>
      <c r="AK125" s="11" cm="1">
        <f t="array" ref="AK125">MMULT($D125:$G125,AK$87:AK$90)</f>
        <v>-9.1389958910342989E-3</v>
      </c>
      <c r="AL125" s="11" cm="1">
        <f t="array" ref="AL125">MMULT($D125:$G125,AL$87:AL$90)</f>
        <v>-8.4511874523306718E-3</v>
      </c>
      <c r="AM125" s="11" cm="1">
        <f t="array" ref="AM125">MMULT($D125:$G125,AM$87:AM$90)</f>
        <v>-1.2258475701573953E-2</v>
      </c>
      <c r="AN125" s="11" cm="1">
        <f t="array" ref="AN125">MMULT($D125:$G125,AN$87:AN$90)</f>
        <v>-8.5627085321016844E-3</v>
      </c>
      <c r="AO125" s="11" cm="1">
        <f t="array" ref="AO125">MMULT($D125:$G125,AO$87:AO$90)</f>
        <v>-4.3648224301668717E-3</v>
      </c>
      <c r="AP125" s="11" cm="1">
        <f t="array" ref="AP125">MMULT($D125:$G125,AP$87:AP$90)</f>
        <v>-3.9669130561589737E-2</v>
      </c>
      <c r="AQ125" s="11" cm="1">
        <f t="array" ref="AQ125">MMULT($D125:$G125,AQ$87:AQ$90)</f>
        <v>-5.5319173373443511E-3</v>
      </c>
      <c r="AR125" s="11" cm="1">
        <f t="array" ref="AR125">MMULT($D125:$G125,AR$87:AR$90)</f>
        <v>-3.6806483687642062E-2</v>
      </c>
      <c r="AS125" s="11" cm="1">
        <f t="array" ref="AS125">MMULT($D125:$G125,AS$87:AS$90)</f>
        <v>1.0532304540421557E-2</v>
      </c>
      <c r="AT125" s="11" cm="1">
        <f t="array" ref="AT125">MMULT($D125:$G125,AT$87:AT$90)</f>
        <v>-2.1122306740087145E-2</v>
      </c>
      <c r="AU125" s="11" cm="1">
        <f t="array" ref="AU125">MMULT($D125:$G125,AU$87:AU$90)</f>
        <v>-2.2363868528298358E-2</v>
      </c>
      <c r="AV125" s="11" cm="1">
        <f t="array" ref="AV125">MMULT($D125:$G125,AV$87:AV$90)</f>
        <v>-1.3139342391281858E-2</v>
      </c>
      <c r="AW125" s="11" cm="1">
        <f t="array" ref="AW125">MMULT($D125:$G125,AW$87:AW$90)</f>
        <v>-5.4471144290766556E-2</v>
      </c>
      <c r="AX125" s="11" cm="1">
        <f t="array" ref="AX125">MMULT($D125:$G125,AX$87:AX$90)</f>
        <v>-9.4197332850862008E-3</v>
      </c>
      <c r="AY125" s="11" cm="1">
        <f t="array" ref="AY125">MMULT($D125:$G125,AY$87:AY$90)</f>
        <v>-2.432714221426906E-2</v>
      </c>
      <c r="AZ125" s="11" cm="1">
        <f t="array" ref="AZ125">MMULT($D125:$G125,AZ$87:AZ$90)</f>
        <v>-3.3982416646128966E-3</v>
      </c>
      <c r="BA125" s="11" cm="1">
        <f t="array" ref="BA125">MMULT($D125:$G125,BA$87:BA$90)</f>
        <v>7.7852678039768836E-3</v>
      </c>
      <c r="BB125" s="11" cm="1">
        <f t="array" ref="BB125">MMULT($D125:$G125,BB$87:BB$90)</f>
        <v>-5.027217044912656E-2</v>
      </c>
      <c r="BC125" s="11" cm="1">
        <f t="array" ref="BC125">MMULT($D125:$G125,BC$87:BC$90)</f>
        <v>9.1244584941599198E-3</v>
      </c>
      <c r="BD125" s="11" cm="1">
        <f t="array" ref="BD125">MMULT($D125:$G125,BD$87:BD$90)</f>
        <v>-3.4271035372345965E-2</v>
      </c>
      <c r="BE125" s="11" cm="1">
        <f t="array" ref="BE125">MMULT($D125:$G125,BE$87:BE$90)</f>
        <v>-9.8856317992427351E-3</v>
      </c>
    </row>
    <row r="126" spans="3:57" ht="15" thickBot="1" x14ac:dyDescent="0.35">
      <c r="D126" s="17">
        <v>0.15588164541736838</v>
      </c>
      <c r="E126" s="17">
        <v>1.1353255904998028E-2</v>
      </c>
      <c r="F126" s="17">
        <v>7.9161267522676493E-2</v>
      </c>
      <c r="G126" s="17">
        <v>6.6445182724252927E-3</v>
      </c>
      <c r="H126" s="22" cm="1">
        <f t="array" ref="H126">MMULT($D126:$G126,H$87:H$90)</f>
        <v>6.3260171779367047E-2</v>
      </c>
      <c r="I126" s="13" cm="1">
        <f t="array" ref="I126">MMULT($D126:$G126,I$87:I$90)</f>
        <v>4.2572019635281635E-2</v>
      </c>
      <c r="J126" s="13" cm="1">
        <f t="array" ref="J126">MMULT($D126:$G126,J$87:J$90)</f>
        <v>4.3481290234107461E-2</v>
      </c>
      <c r="K126" s="13" cm="1">
        <f t="array" ref="K126">MMULT($D126:$G126,K$87:K$90)</f>
        <v>6.4650049279203647E-2</v>
      </c>
      <c r="L126" s="13" cm="1">
        <f t="array" ref="L126">MMULT($D126:$G126,L$87:L$90)</f>
        <v>9.3694584635919245E-2</v>
      </c>
      <c r="M126" s="13" cm="1">
        <f t="array" ref="M126">MMULT($D126:$G126,M$87:M$90)</f>
        <v>8.7299162041893905E-2</v>
      </c>
      <c r="N126" s="13" cm="1">
        <f t="array" ref="N126">MMULT($D126:$G126,N$87:N$90)</f>
        <v>5.3150922008068049E-2</v>
      </c>
      <c r="O126" s="13" cm="1">
        <f t="array" ref="O126">MMULT($D126:$G126,O$87:O$90)</f>
        <v>4.6887897109930736E-2</v>
      </c>
      <c r="P126" s="13" cm="1">
        <f t="array" ref="P126">MMULT($D126:$G126,P$87:P$90)</f>
        <v>0.10135562922367489</v>
      </c>
      <c r="Q126" s="13" cm="1">
        <f t="array" ref="Q126">MMULT($D126:$G126,Q$87:Q$90)</f>
        <v>5.7806784408356668E-2</v>
      </c>
      <c r="R126" s="13" cm="1">
        <f t="array" ref="R126">MMULT($D126:$G126,R$87:R$90)</f>
        <v>8.7185918748742708E-2</v>
      </c>
      <c r="S126" s="13" cm="1">
        <f t="array" ref="S126">MMULT($D126:$G126,S$87:S$90)</f>
        <v>4.0104136590886311E-2</v>
      </c>
      <c r="T126" s="13" cm="1">
        <f t="array" ref="T126">MMULT($D126:$G126,T$87:T$90)</f>
        <v>6.7923866254295695E-2</v>
      </c>
      <c r="U126" s="13" cm="1">
        <f t="array" ref="U126">MMULT($D126:$G126,U$87:U$90)</f>
        <v>0.10728263146746561</v>
      </c>
      <c r="V126" s="13" cm="1">
        <f t="array" ref="V126">MMULT($D126:$G126,V$87:V$90)</f>
        <v>4.7579943230596569E-2</v>
      </c>
      <c r="W126" s="13" cm="1">
        <f t="array" ref="W126">MMULT($D126:$G126,W$87:W$90)</f>
        <v>6.8209872982821662E-2</v>
      </c>
      <c r="X126" s="13" cm="1">
        <f t="array" ref="X126">MMULT($D126:$G126,X$87:X$90)</f>
        <v>7.4676217943734191E-2</v>
      </c>
      <c r="Y126" s="13" cm="1">
        <f t="array" ref="Y126">MMULT($D126:$G126,Y$87:Y$90)</f>
        <v>3.370167992113271E-2</v>
      </c>
      <c r="Z126" s="13" cm="1">
        <f t="array" ref="Z126">MMULT($D126:$G126,Z$87:Z$90)</f>
        <v>0.10519301202006912</v>
      </c>
      <c r="AA126" s="13" cm="1">
        <f t="array" ref="AA126">MMULT($D126:$G126,AA$87:AA$90)</f>
        <v>4.9413227877673341E-2</v>
      </c>
      <c r="AB126" s="13" cm="1">
        <f t="array" ref="AB126">MMULT($D126:$G126,AB$87:AB$90)</f>
        <v>3.6023732377736407E-2</v>
      </c>
      <c r="AC126" s="13" cm="1">
        <f t="array" ref="AC126">MMULT($D126:$G126,AC$87:AC$90)</f>
        <v>5.8380637179600223E-2</v>
      </c>
      <c r="AD126" s="13" cm="1">
        <f t="array" ref="AD126">MMULT($D126:$G126,AD$87:AD$90)</f>
        <v>4.7872634578401629E-2</v>
      </c>
      <c r="AE126" s="13" cm="1">
        <f t="array" ref="AE126">MMULT($D126:$G126,AE$87:AE$90)</f>
        <v>7.7563519939165479E-2</v>
      </c>
      <c r="AF126" s="13" cm="1">
        <f t="array" ref="AF126">MMULT($D126:$G126,AF$87:AF$90)</f>
        <v>6.6657529395841048E-2</v>
      </c>
      <c r="AG126" s="13" cm="1">
        <f t="array" ref="AG126">MMULT($D126:$G126,AG$87:AG$90)</f>
        <v>0.10101729024416842</v>
      </c>
      <c r="AH126" s="13" cm="1">
        <f t="array" ref="AH126">MMULT($D126:$G126,AH$87:AH$90)</f>
        <v>0.1012271915880039</v>
      </c>
      <c r="AI126" s="13" cm="1">
        <f t="array" ref="AI126">MMULT($D126:$G126,AI$87:AI$90)</f>
        <v>0.1155772687743219</v>
      </c>
      <c r="AJ126" s="13" cm="1">
        <f t="array" ref="AJ126">MMULT($D126:$G126,AJ$87:AJ$90)</f>
        <v>5.0807612195643323E-2</v>
      </c>
      <c r="AK126" s="13" cm="1">
        <f t="array" ref="AK126">MMULT($D126:$G126,AK$87:AK$90)</f>
        <v>9.4529759709797573E-2</v>
      </c>
      <c r="AL126" s="13" cm="1">
        <f t="array" ref="AL126">MMULT($D126:$G126,AL$87:AL$90)</f>
        <v>0.11908735823494881</v>
      </c>
      <c r="AM126" s="13" cm="1">
        <f t="array" ref="AM126">MMULT($D126:$G126,AM$87:AM$90)</f>
        <v>6.9225675316147886E-2</v>
      </c>
      <c r="AN126" s="13" cm="1">
        <f t="array" ref="AN126">MMULT($D126:$G126,AN$87:AN$90)</f>
        <v>4.6400284985994279E-2</v>
      </c>
      <c r="AO126" s="13" cm="1">
        <f t="array" ref="AO126">MMULT($D126:$G126,AO$87:AO$90)</f>
        <v>3.4616249823218037E-2</v>
      </c>
      <c r="AP126" s="13" cm="1">
        <f t="array" ref="AP126">MMULT($D126:$G126,AP$87:AP$90)</f>
        <v>7.7639268946876935E-2</v>
      </c>
      <c r="AQ126" s="13" cm="1">
        <f t="array" ref="AQ126">MMULT($D126:$G126,AQ$87:AQ$90)</f>
        <v>6.9302773101170029E-2</v>
      </c>
      <c r="AR126" s="13" cm="1">
        <f t="array" ref="AR126">MMULT($D126:$G126,AR$87:AR$90)</f>
        <v>9.1094019225392203E-2</v>
      </c>
      <c r="AS126" s="13" cm="1">
        <f t="array" ref="AS126">MMULT($D126:$G126,AS$87:AS$90)</f>
        <v>7.8961153053334954E-2</v>
      </c>
      <c r="AT126" s="13" cm="1">
        <f t="array" ref="AT126">MMULT($D126:$G126,AT$87:AT$90)</f>
        <v>3.6087635949295871E-2</v>
      </c>
      <c r="AU126" s="13" cm="1">
        <f t="array" ref="AU126">MMULT($D126:$G126,AU$87:AU$90)</f>
        <v>3.3570785646801007E-2</v>
      </c>
      <c r="AV126" s="13" cm="1">
        <f t="array" ref="AV126">MMULT($D126:$G126,AV$87:AV$90)</f>
        <v>4.6316244626308636E-2</v>
      </c>
      <c r="AW126" s="13" cm="1">
        <f t="array" ref="AW126">MMULT($D126:$G126,AW$87:AW$90)</f>
        <v>3.1702683312361389E-2</v>
      </c>
      <c r="AX126" s="13" cm="1">
        <f t="array" ref="AX126">MMULT($D126:$G126,AX$87:AX$90)</f>
        <v>1.8633327207255995E-2</v>
      </c>
      <c r="AY126" s="13" cm="1">
        <f t="array" ref="AY126">MMULT($D126:$G126,AY$87:AY$90)</f>
        <v>2.9180234853249047E-2</v>
      </c>
      <c r="AZ126" s="13" cm="1">
        <f t="array" ref="AZ126">MMULT($D126:$G126,AZ$87:AZ$90)</f>
        <v>9.7501924844223459E-2</v>
      </c>
      <c r="BA126" s="13" cm="1">
        <f t="array" ref="BA126">MMULT($D126:$G126,BA$87:BA$90)</f>
        <v>5.8178320029909442E-2</v>
      </c>
      <c r="BB126" s="13" cm="1">
        <f t="array" ref="BB126">MMULT($D126:$G126,BB$87:BB$90)</f>
        <v>5.0614833064545818E-2</v>
      </c>
      <c r="BC126" s="13" cm="1">
        <f t="array" ref="BC126">MMULT($D126:$G126,BC$87:BC$90)</f>
        <v>4.7904969595050445E-2</v>
      </c>
      <c r="BD126" s="13" cm="1">
        <f t="array" ref="BD126">MMULT($D126:$G126,BD$87:BD$90)</f>
        <v>5.9871206189827844E-2</v>
      </c>
      <c r="BE126" s="13" cm="1">
        <f t="array" ref="BE126">MMULT($D126:$G126,BE$87:BE$90)</f>
        <v>4.6805373566561205E-2</v>
      </c>
    </row>
    <row r="127" spans="3:57" x14ac:dyDescent="0.3">
      <c r="C127" s="5" t="s">
        <v>70</v>
      </c>
      <c r="D127" s="12">
        <f>AVERAGE(D91:D126)</f>
        <v>1.9347228317374756E-2</v>
      </c>
      <c r="E127" s="12">
        <f>AVERAGE(E91:E126)</f>
        <v>5.9875910932308636E-3</v>
      </c>
      <c r="F127" s="12">
        <f>AVERAGE(F91:F126)</f>
        <v>6.9724023057003244E-3</v>
      </c>
      <c r="G127" s="18">
        <f>AVERAGE(G91:G126)</f>
        <v>2.2310620674959779E-2</v>
      </c>
      <c r="H127" s="23">
        <f>AVERAGE(H91:H126)</f>
        <v>1.365446059781643E-2</v>
      </c>
      <c r="I127" s="12">
        <f t="shared" ref="I127:BD127" si="8">AVERAGE(I91:I126)</f>
        <v>1.2009869194890416E-2</v>
      </c>
      <c r="J127" s="12">
        <f t="shared" si="8"/>
        <v>9.2952102862116793E-3</v>
      </c>
      <c r="K127" s="12">
        <f t="shared" si="8"/>
        <v>1.4595410428379066E-2</v>
      </c>
      <c r="L127" s="12">
        <f t="shared" si="8"/>
        <v>1.5365918114053181E-2</v>
      </c>
      <c r="M127" s="12">
        <f t="shared" si="8"/>
        <v>1.7795998651608927E-2</v>
      </c>
      <c r="N127" s="12">
        <f t="shared" si="8"/>
        <v>1.5346049210651564E-2</v>
      </c>
      <c r="O127" s="12">
        <f t="shared" si="8"/>
        <v>9.5948072144289073E-3</v>
      </c>
      <c r="P127" s="12">
        <f t="shared" si="8"/>
        <v>1.3062552231218284E-2</v>
      </c>
      <c r="Q127" s="12">
        <f t="shared" si="8"/>
        <v>1.0048894755066047E-2</v>
      </c>
      <c r="R127" s="12">
        <f t="shared" si="8"/>
        <v>1.6591496430657285E-2</v>
      </c>
      <c r="S127" s="12">
        <f t="shared" si="8"/>
        <v>1.8387709442614961E-2</v>
      </c>
      <c r="T127" s="12">
        <f t="shared" si="8"/>
        <v>1.1922922909459939E-2</v>
      </c>
      <c r="U127" s="12">
        <f t="shared" si="8"/>
        <v>1.4499838915156354E-2</v>
      </c>
      <c r="V127" s="12">
        <f t="shared" si="8"/>
        <v>1.4578624904379108E-2</v>
      </c>
      <c r="W127" s="12">
        <f t="shared" si="8"/>
        <v>9.9501181367819356E-3</v>
      </c>
      <c r="X127" s="12">
        <f t="shared" si="8"/>
        <v>9.8531272773308351E-3</v>
      </c>
      <c r="Y127" s="12">
        <f t="shared" si="8"/>
        <v>9.9357751690094878E-3</v>
      </c>
      <c r="Z127" s="12">
        <f t="shared" si="8"/>
        <v>1.6568434067052506E-2</v>
      </c>
      <c r="AA127" s="12">
        <f t="shared" si="8"/>
        <v>1.8178160012716191E-2</v>
      </c>
      <c r="AB127" s="12">
        <f t="shared" si="8"/>
        <v>1.5662495680945916E-2</v>
      </c>
      <c r="AC127" s="12">
        <f t="shared" si="8"/>
        <v>1.3250427420110157E-2</v>
      </c>
      <c r="AD127" s="12">
        <f t="shared" si="8"/>
        <v>1.9577836491061935E-2</v>
      </c>
      <c r="AE127" s="12">
        <f t="shared" si="8"/>
        <v>1.6292881355432869E-2</v>
      </c>
      <c r="AF127" s="12">
        <f t="shared" si="8"/>
        <v>1.2454698326784018E-2</v>
      </c>
      <c r="AG127" s="12">
        <f t="shared" si="8"/>
        <v>1.7757950156053713E-2</v>
      </c>
      <c r="AH127" s="12">
        <f t="shared" si="8"/>
        <v>1.39747457332948E-2</v>
      </c>
      <c r="AI127" s="12">
        <f t="shared" si="8"/>
        <v>1.6924493687041769E-2</v>
      </c>
      <c r="AJ127" s="12">
        <f t="shared" si="8"/>
        <v>1.1597721930950931E-2</v>
      </c>
      <c r="AK127" s="12">
        <f t="shared" si="8"/>
        <v>1.5813830442006311E-2</v>
      </c>
      <c r="AL127" s="12">
        <f t="shared" si="8"/>
        <v>1.625810522804003E-2</v>
      </c>
      <c r="AM127" s="12">
        <f t="shared" si="8"/>
        <v>1.4597943869891463E-2</v>
      </c>
      <c r="AN127" s="12">
        <f t="shared" si="8"/>
        <v>1.5196543879630665E-2</v>
      </c>
      <c r="AO127" s="12">
        <f t="shared" si="8"/>
        <v>1.5984119849356788E-2</v>
      </c>
      <c r="AP127" s="12">
        <f t="shared" si="8"/>
        <v>9.8308516734204147E-3</v>
      </c>
      <c r="AQ127" s="12">
        <f t="shared" si="8"/>
        <v>1.5871108433212266E-2</v>
      </c>
      <c r="AR127" s="12">
        <f t="shared" si="8"/>
        <v>1.0431766757784927E-2</v>
      </c>
      <c r="AS127" s="12">
        <f t="shared" si="8"/>
        <v>1.9070733809034728E-2</v>
      </c>
      <c r="AT127" s="12">
        <f t="shared" si="8"/>
        <v>1.2869095056795336E-2</v>
      </c>
      <c r="AU127" s="12">
        <f t="shared" si="8"/>
        <v>1.2928171511988735E-2</v>
      </c>
      <c r="AV127" s="12">
        <f t="shared" si="8"/>
        <v>1.4686507178606848E-2</v>
      </c>
      <c r="AW127" s="12">
        <f t="shared" si="8"/>
        <v>7.2231007699309468E-3</v>
      </c>
      <c r="AX127" s="12">
        <f t="shared" si="8"/>
        <v>1.5017855139366052E-2</v>
      </c>
      <c r="AY127" s="12">
        <f t="shared" si="8"/>
        <v>1.2563402216117131E-2</v>
      </c>
      <c r="AZ127" s="12">
        <f t="shared" si="8"/>
        <v>1.6825475554171288E-2</v>
      </c>
      <c r="BA127" s="12">
        <f t="shared" si="8"/>
        <v>1.8187487644425571E-2</v>
      </c>
      <c r="BB127" s="12">
        <f t="shared" si="8"/>
        <v>7.9119192598406263E-3</v>
      </c>
      <c r="BC127" s="12">
        <f t="shared" si="8"/>
        <v>1.8356152541215146E-2</v>
      </c>
      <c r="BD127" s="12">
        <f t="shared" si="8"/>
        <v>1.0433157210336538E-2</v>
      </c>
      <c r="BE127" s="12">
        <f>AVERAGE(BE91:BE126)</f>
        <v>1.4936701653317888E-2</v>
      </c>
    </row>
    <row r="128" spans="3:57" x14ac:dyDescent="0.3">
      <c r="C128" s="5" t="s">
        <v>71</v>
      </c>
      <c r="D128" s="5">
        <f>STDEV(D91:D126)</f>
        <v>7.1862753273792962E-2</v>
      </c>
      <c r="E128" s="5">
        <f>STDEV(E91:E126)</f>
        <v>5.275366618188744E-2</v>
      </c>
      <c r="F128" s="5">
        <f>STDEV(F91:F126)</f>
        <v>4.6522923875721323E-2</v>
      </c>
      <c r="G128" s="19">
        <f>STDEV(G91:G126)</f>
        <v>8.8015930002257325E-2</v>
      </c>
      <c r="H128" s="24">
        <f>STDEV(H91:H126)</f>
        <v>4.0382750471364713E-2</v>
      </c>
      <c r="I128" s="5">
        <f t="shared" ref="I128:BD128" si="9">STDEV(I91:I126)</f>
        <v>3.9776948891068573E-2</v>
      </c>
      <c r="J128" s="5">
        <f t="shared" si="9"/>
        <v>4.0244603969131751E-2</v>
      </c>
      <c r="K128" s="5">
        <f t="shared" si="9"/>
        <v>4.303609890884344E-2</v>
      </c>
      <c r="L128" s="5">
        <f t="shared" si="9"/>
        <v>4.7862067107081165E-2</v>
      </c>
      <c r="M128" s="5">
        <f t="shared" si="9"/>
        <v>5.0144603657744174E-2</v>
      </c>
      <c r="N128" s="5">
        <f t="shared" si="9"/>
        <v>4.4799320320239561E-2</v>
      </c>
      <c r="O128" s="5">
        <f t="shared" si="9"/>
        <v>3.8252595589918829E-2</v>
      </c>
      <c r="P128" s="5">
        <f t="shared" si="9"/>
        <v>4.4307258190748301E-2</v>
      </c>
      <c r="Q128" s="5">
        <f t="shared" si="9"/>
        <v>3.839348810693833E-2</v>
      </c>
      <c r="R128" s="5">
        <f t="shared" si="9"/>
        <v>4.7415761723497617E-2</v>
      </c>
      <c r="S128" s="5">
        <f t="shared" si="9"/>
        <v>5.9204717375181279E-2</v>
      </c>
      <c r="T128" s="5">
        <f t="shared" si="9"/>
        <v>4.0071550462216769E-2</v>
      </c>
      <c r="U128" s="5">
        <f t="shared" si="9"/>
        <v>5.2127009509758557E-2</v>
      </c>
      <c r="V128" s="5">
        <f t="shared" si="9"/>
        <v>4.3802440193289389E-2</v>
      </c>
      <c r="W128" s="5">
        <f t="shared" si="9"/>
        <v>4.0584810183912141E-2</v>
      </c>
      <c r="X128" s="5">
        <f t="shared" si="9"/>
        <v>3.9121081520228189E-2</v>
      </c>
      <c r="Y128" s="5">
        <f t="shared" si="9"/>
        <v>3.9721844619872056E-2</v>
      </c>
      <c r="Z128" s="5">
        <f t="shared" si="9"/>
        <v>4.9402504713004058E-2</v>
      </c>
      <c r="AA128" s="5">
        <f t="shared" si="9"/>
        <v>5.3922756712938953E-2</v>
      </c>
      <c r="AB128" s="5">
        <f t="shared" si="9"/>
        <v>5.0156836939746152E-2</v>
      </c>
      <c r="AC128" s="5">
        <f t="shared" si="9"/>
        <v>4.1554471500824912E-2</v>
      </c>
      <c r="AD128" s="5">
        <f t="shared" si="9"/>
        <v>5.9603362289282515E-2</v>
      </c>
      <c r="AE128" s="5">
        <f t="shared" si="9"/>
        <v>4.544513793122433E-2</v>
      </c>
      <c r="AF128" s="5">
        <f t="shared" si="9"/>
        <v>4.1924616912090339E-2</v>
      </c>
      <c r="AG128" s="5">
        <f t="shared" si="9"/>
        <v>5.1825580933758317E-2</v>
      </c>
      <c r="AH128" s="5">
        <f t="shared" si="9"/>
        <v>4.8079736128183684E-2</v>
      </c>
      <c r="AI128" s="5">
        <f t="shared" si="9"/>
        <v>5.5015471915204193E-2</v>
      </c>
      <c r="AJ128" s="5">
        <f t="shared" si="9"/>
        <v>3.8428569375280483E-2</v>
      </c>
      <c r="AK128" s="5">
        <f t="shared" si="9"/>
        <v>4.7487425800381455E-2</v>
      </c>
      <c r="AL128" s="5">
        <f t="shared" si="9"/>
        <v>5.57850503993376E-2</v>
      </c>
      <c r="AM128" s="5">
        <f t="shared" si="9"/>
        <v>4.3350815019491867E-2</v>
      </c>
      <c r="AN128" s="5">
        <f t="shared" si="9"/>
        <v>4.6406922224214324E-2</v>
      </c>
      <c r="AO128" s="5">
        <f t="shared" si="9"/>
        <v>5.0339041554431189E-2</v>
      </c>
      <c r="AP128" s="5">
        <f t="shared" si="9"/>
        <v>3.94499093409416E-2</v>
      </c>
      <c r="AQ128" s="5">
        <f t="shared" si="9"/>
        <v>4.5452469222739246E-2</v>
      </c>
      <c r="AR128" s="5">
        <f t="shared" si="9"/>
        <v>4.1806352269613288E-2</v>
      </c>
      <c r="AS128" s="5">
        <f t="shared" si="9"/>
        <v>5.2580010105240174E-2</v>
      </c>
      <c r="AT128" s="5">
        <f t="shared" si="9"/>
        <v>4.307650263273035E-2</v>
      </c>
      <c r="AU128" s="5">
        <f t="shared" si="9"/>
        <v>4.3405963070224478E-2</v>
      </c>
      <c r="AV128" s="5">
        <f t="shared" si="9"/>
        <v>4.4710774958661971E-2</v>
      </c>
      <c r="AW128" s="5">
        <f t="shared" si="9"/>
        <v>4.2663195564632314E-2</v>
      </c>
      <c r="AX128" s="5">
        <f t="shared" si="9"/>
        <v>5.1896360280221689E-2</v>
      </c>
      <c r="AY128" s="5">
        <f t="shared" si="9"/>
        <v>4.3854547124502472E-2</v>
      </c>
      <c r="AZ128" s="5">
        <f t="shared" si="9"/>
        <v>4.8831924643304374E-2</v>
      </c>
      <c r="BA128" s="5">
        <f t="shared" si="9"/>
        <v>5.3480356045478288E-2</v>
      </c>
      <c r="BB128" s="5">
        <f t="shared" si="9"/>
        <v>3.8960741996085291E-2</v>
      </c>
      <c r="BC128" s="5">
        <f t="shared" si="9"/>
        <v>5.6047282175126105E-2</v>
      </c>
      <c r="BD128" s="5">
        <f t="shared" si="9"/>
        <v>4.0698649772574584E-2</v>
      </c>
      <c r="BE128" s="5">
        <f>STDEV(BE91:BE126)</f>
        <v>4.5929150233363261E-2</v>
      </c>
    </row>
    <row r="129" spans="3:57" x14ac:dyDescent="0.3">
      <c r="C129" s="14" t="s">
        <v>72</v>
      </c>
      <c r="D129" s="31">
        <f>D127*12</f>
        <v>0.23216673980849706</v>
      </c>
      <c r="E129" s="31">
        <f>E127*12</f>
        <v>7.1851093118770359E-2</v>
      </c>
      <c r="F129" s="31">
        <f>F127*12</f>
        <v>8.3668827668403889E-2</v>
      </c>
      <c r="G129" s="32">
        <f>G127*12</f>
        <v>0.26772744809951732</v>
      </c>
      <c r="H129" s="33">
        <f>H127*12</f>
        <v>0.16385352717379717</v>
      </c>
      <c r="I129" s="31">
        <f t="shared" ref="I129:BE129" si="10">I127*12</f>
        <v>0.14411843033868499</v>
      </c>
      <c r="J129" s="31">
        <f t="shared" si="10"/>
        <v>0.11154252343454016</v>
      </c>
      <c r="K129" s="31">
        <f t="shared" si="10"/>
        <v>0.1751449251405488</v>
      </c>
      <c r="L129" s="31">
        <f t="shared" si="10"/>
        <v>0.18439101736863817</v>
      </c>
      <c r="M129" s="31">
        <f t="shared" si="10"/>
        <v>0.21355198381930712</v>
      </c>
      <c r="N129" s="31">
        <f t="shared" si="10"/>
        <v>0.18415259052781877</v>
      </c>
      <c r="O129" s="31">
        <f t="shared" si="10"/>
        <v>0.11513768657314688</v>
      </c>
      <c r="P129" s="31">
        <f t="shared" si="10"/>
        <v>0.1567506267746194</v>
      </c>
      <c r="Q129" s="31">
        <f t="shared" si="10"/>
        <v>0.12058673706079256</v>
      </c>
      <c r="R129" s="31">
        <f t="shared" si="10"/>
        <v>0.19909795716788742</v>
      </c>
      <c r="S129" s="31">
        <f t="shared" si="10"/>
        <v>0.22065251331137953</v>
      </c>
      <c r="T129" s="31">
        <f t="shared" si="10"/>
        <v>0.14307507491351926</v>
      </c>
      <c r="U129" s="31">
        <f t="shared" si="10"/>
        <v>0.17399806698187625</v>
      </c>
      <c r="V129" s="31">
        <f t="shared" si="10"/>
        <v>0.17494349885254928</v>
      </c>
      <c r="W129" s="31">
        <f t="shared" si="10"/>
        <v>0.11940141764138323</v>
      </c>
      <c r="X129" s="31">
        <f t="shared" si="10"/>
        <v>0.11823752732797002</v>
      </c>
      <c r="Y129" s="31">
        <f t="shared" si="10"/>
        <v>0.11922930202811385</v>
      </c>
      <c r="Z129" s="31">
        <f t="shared" si="10"/>
        <v>0.19882120880463006</v>
      </c>
      <c r="AA129" s="31">
        <f t="shared" si="10"/>
        <v>0.21813792015259431</v>
      </c>
      <c r="AB129" s="31">
        <f t="shared" si="10"/>
        <v>0.18794994817135099</v>
      </c>
      <c r="AC129" s="31">
        <f t="shared" si="10"/>
        <v>0.15900512904132189</v>
      </c>
      <c r="AD129" s="31">
        <f t="shared" si="10"/>
        <v>0.23493403789274322</v>
      </c>
      <c r="AE129" s="31">
        <f t="shared" si="10"/>
        <v>0.19551457626519442</v>
      </c>
      <c r="AF129" s="31">
        <f t="shared" si="10"/>
        <v>0.14945637992140823</v>
      </c>
      <c r="AG129" s="31">
        <f t="shared" si="10"/>
        <v>0.21309540187264456</v>
      </c>
      <c r="AH129" s="31">
        <f t="shared" si="10"/>
        <v>0.16769694879953762</v>
      </c>
      <c r="AI129" s="31">
        <f t="shared" si="10"/>
        <v>0.20309392424450123</v>
      </c>
      <c r="AJ129" s="31">
        <f t="shared" si="10"/>
        <v>0.13917266317141117</v>
      </c>
      <c r="AK129" s="31">
        <f t="shared" si="10"/>
        <v>0.18976596530407575</v>
      </c>
      <c r="AL129" s="31">
        <f t="shared" si="10"/>
        <v>0.19509726273648037</v>
      </c>
      <c r="AM129" s="31">
        <f t="shared" si="10"/>
        <v>0.17517532643869754</v>
      </c>
      <c r="AN129" s="31">
        <f t="shared" si="10"/>
        <v>0.18235852655556797</v>
      </c>
      <c r="AO129" s="31">
        <f t="shared" si="10"/>
        <v>0.19180943819228147</v>
      </c>
      <c r="AP129" s="31">
        <f t="shared" si="10"/>
        <v>0.11797022008104498</v>
      </c>
      <c r="AQ129" s="31">
        <f t="shared" si="10"/>
        <v>0.1904533011985472</v>
      </c>
      <c r="AR129" s="31">
        <f t="shared" si="10"/>
        <v>0.12518120109341913</v>
      </c>
      <c r="AS129" s="31">
        <f t="shared" si="10"/>
        <v>0.22884880570841673</v>
      </c>
      <c r="AT129" s="31">
        <f t="shared" si="10"/>
        <v>0.15442914068154404</v>
      </c>
      <c r="AU129" s="31">
        <f t="shared" si="10"/>
        <v>0.15513805814386483</v>
      </c>
      <c r="AV129" s="31">
        <f t="shared" si="10"/>
        <v>0.17623808614328218</v>
      </c>
      <c r="AW129" s="31">
        <f t="shared" si="10"/>
        <v>8.6677209239171354E-2</v>
      </c>
      <c r="AX129" s="31">
        <f t="shared" si="10"/>
        <v>0.18021426167239263</v>
      </c>
      <c r="AY129" s="31">
        <f t="shared" si="10"/>
        <v>0.15076082659340556</v>
      </c>
      <c r="AZ129" s="31">
        <f t="shared" si="10"/>
        <v>0.20190570665005547</v>
      </c>
      <c r="BA129" s="31">
        <f t="shared" si="10"/>
        <v>0.21824985173310685</v>
      </c>
      <c r="BB129" s="31">
        <f t="shared" si="10"/>
        <v>9.4943031118087523E-2</v>
      </c>
      <c r="BC129" s="31">
        <f t="shared" si="10"/>
        <v>0.22027383049458177</v>
      </c>
      <c r="BD129" s="31">
        <f t="shared" si="10"/>
        <v>0.12519788652403846</v>
      </c>
      <c r="BE129" s="31">
        <f t="shared" si="10"/>
        <v>0.17924041983981465</v>
      </c>
    </row>
    <row r="130" spans="3:57" x14ac:dyDescent="0.3">
      <c r="C130" s="15" t="s">
        <v>73</v>
      </c>
      <c r="D130" s="34">
        <f>D128*SQRT(12)</f>
        <v>0.24893987968399214</v>
      </c>
      <c r="E130" s="34">
        <f>E128*SQRT(12)</f>
        <v>0.18274406022511422</v>
      </c>
      <c r="F130" s="34">
        <f>F128*SQRT(12)</f>
        <v>0.16116013573881702</v>
      </c>
      <c r="G130" s="35">
        <f>G128*SQRT(12)</f>
        <v>0.30489612527867116</v>
      </c>
      <c r="H130" s="36">
        <f>H128*SQRT(12)</f>
        <v>0.13988995113155941</v>
      </c>
      <c r="I130" s="34">
        <f t="shared" ref="I130:BE130" si="11">I128*SQRT(12)</f>
        <v>0.13779139289880254</v>
      </c>
      <c r="J130" s="34">
        <f t="shared" si="11"/>
        <v>0.13941139761004859</v>
      </c>
      <c r="K130" s="34">
        <f t="shared" si="11"/>
        <v>0.14908141973935271</v>
      </c>
      <c r="L130" s="34">
        <f t="shared" si="11"/>
        <v>0.16579906396947144</v>
      </c>
      <c r="M130" s="34">
        <f t="shared" si="11"/>
        <v>0.17370600252123414</v>
      </c>
      <c r="N130" s="34">
        <f t="shared" si="11"/>
        <v>0.15518939787841549</v>
      </c>
      <c r="O130" s="34">
        <f t="shared" si="11"/>
        <v>0.13251087816624915</v>
      </c>
      <c r="P130" s="34">
        <f t="shared" si="11"/>
        <v>0.15348484466089668</v>
      </c>
      <c r="Q130" s="34">
        <f t="shared" si="11"/>
        <v>0.13299894416201724</v>
      </c>
      <c r="R130" s="34">
        <f t="shared" si="11"/>
        <v>0.164253016769355</v>
      </c>
      <c r="S130" s="34">
        <f t="shared" si="11"/>
        <v>0.20509115708313974</v>
      </c>
      <c r="T130" s="34">
        <f t="shared" si="11"/>
        <v>0.13881192267723913</v>
      </c>
      <c r="U130" s="34">
        <f t="shared" si="11"/>
        <v>0.18057325783505571</v>
      </c>
      <c r="V130" s="34">
        <f t="shared" si="11"/>
        <v>0.15173610382054867</v>
      </c>
      <c r="W130" s="34">
        <f t="shared" si="11"/>
        <v>0.14058990650814923</v>
      </c>
      <c r="X130" s="34">
        <f t="shared" si="11"/>
        <v>0.13551940168015822</v>
      </c>
      <c r="Y130" s="34">
        <f t="shared" si="11"/>
        <v>0.13760050610394972</v>
      </c>
      <c r="Z130" s="34">
        <f t="shared" si="11"/>
        <v>0.17113529636816788</v>
      </c>
      <c r="AA130" s="34">
        <f t="shared" si="11"/>
        <v>0.18679390862197201</v>
      </c>
      <c r="AB130" s="34">
        <f t="shared" si="11"/>
        <v>0.17374837985317562</v>
      </c>
      <c r="AC130" s="34">
        <f t="shared" si="11"/>
        <v>0.14394891184220338</v>
      </c>
      <c r="AD130" s="34">
        <f t="shared" si="11"/>
        <v>0.20647210357394427</v>
      </c>
      <c r="AE130" s="34">
        <f t="shared" si="11"/>
        <v>0.15742657570771224</v>
      </c>
      <c r="AF130" s="34">
        <f t="shared" si="11"/>
        <v>0.14523113315920375</v>
      </c>
      <c r="AG130" s="34">
        <f t="shared" si="11"/>
        <v>0.17952907861808459</v>
      </c>
      <c r="AH130" s="34">
        <f t="shared" si="11"/>
        <v>0.16655309157703815</v>
      </c>
      <c r="AI130" s="34">
        <f t="shared" si="11"/>
        <v>0.19057918511902461</v>
      </c>
      <c r="AJ130" s="34">
        <f t="shared" si="11"/>
        <v>0.13312046924034238</v>
      </c>
      <c r="AK130" s="34">
        <f t="shared" si="11"/>
        <v>0.16450126841383567</v>
      </c>
      <c r="AL130" s="34">
        <f t="shared" si="11"/>
        <v>0.19324508318888642</v>
      </c>
      <c r="AM130" s="34">
        <f t="shared" si="11"/>
        <v>0.15017162832655981</v>
      </c>
      <c r="AN130" s="34">
        <f t="shared" si="11"/>
        <v>0.160758294230473</v>
      </c>
      <c r="AO130" s="34">
        <f t="shared" si="11"/>
        <v>0.17437955515319162</v>
      </c>
      <c r="AP130" s="34">
        <f t="shared" si="11"/>
        <v>0.13665849466499377</v>
      </c>
      <c r="AQ130" s="34">
        <f t="shared" si="11"/>
        <v>0.15745197204649009</v>
      </c>
      <c r="AR130" s="34">
        <f t="shared" si="11"/>
        <v>0.14482145242018532</v>
      </c>
      <c r="AS130" s="34">
        <f t="shared" si="11"/>
        <v>0.18214249792952195</v>
      </c>
      <c r="AT130" s="34">
        <f t="shared" si="11"/>
        <v>0.14922138234452692</v>
      </c>
      <c r="AU130" s="34">
        <f t="shared" si="11"/>
        <v>0.15036266677817434</v>
      </c>
      <c r="AV130" s="34">
        <f t="shared" si="11"/>
        <v>0.1548826677483616</v>
      </c>
      <c r="AW130" s="34">
        <f t="shared" si="11"/>
        <v>0.14778964466238068</v>
      </c>
      <c r="AX130" s="34">
        <f t="shared" si="11"/>
        <v>0.17977426546648675</v>
      </c>
      <c r="AY130" s="34">
        <f t="shared" si="11"/>
        <v>0.15191660752512379</v>
      </c>
      <c r="AZ130" s="34">
        <f t="shared" si="11"/>
        <v>0.1691587490271558</v>
      </c>
      <c r="BA130" s="34">
        <f t="shared" si="11"/>
        <v>0.1852613877552835</v>
      </c>
      <c r="BB130" s="34">
        <f t="shared" si="11"/>
        <v>0.13496396927560439</v>
      </c>
      <c r="BC130" s="34">
        <f t="shared" si="11"/>
        <v>0.1941534807069358</v>
      </c>
      <c r="BD130" s="34">
        <f t="shared" si="11"/>
        <v>0.1409842584111014</v>
      </c>
      <c r="BE130" s="34">
        <f t="shared" si="11"/>
        <v>0.15910324350529825</v>
      </c>
    </row>
    <row r="162" spans="2:8" ht="18" x14ac:dyDescent="0.35">
      <c r="B162" s="1" t="s">
        <v>103</v>
      </c>
    </row>
    <row r="165" spans="2:8" x14ac:dyDescent="0.3">
      <c r="C165" s="41" t="s">
        <v>74</v>
      </c>
      <c r="D165" s="37"/>
      <c r="E165" s="37"/>
      <c r="F165" s="38"/>
      <c r="H165" s="5" t="s">
        <v>75</v>
      </c>
    </row>
    <row r="166" spans="2:8" x14ac:dyDescent="0.3">
      <c r="C166" s="12" t="s">
        <v>1</v>
      </c>
      <c r="D166" s="12" t="s">
        <v>2</v>
      </c>
      <c r="E166" s="12" t="s">
        <v>3</v>
      </c>
      <c r="F166" s="12" t="s">
        <v>4</v>
      </c>
      <c r="H166" s="5">
        <f>SUMPRODUCT($C$167:$F$167, D91:G91)</f>
        <v>0.13241050642788854</v>
      </c>
    </row>
    <row r="167" spans="2:8" x14ac:dyDescent="0.3">
      <c r="C167" s="5">
        <v>0.50845245997574651</v>
      </c>
      <c r="D167" s="5">
        <v>-4.6275064015361394E-3</v>
      </c>
      <c r="E167" s="5">
        <v>9.4860327566629418E-2</v>
      </c>
      <c r="F167" s="5">
        <f>1-C167-D167-E167</f>
        <v>0.4013147188591602</v>
      </c>
      <c r="H167" s="5">
        <f t="shared" ref="H167:H201" si="12">SUMPRODUCT($C$167:$F$167, D92:G92)</f>
        <v>6.7921319747848555E-2</v>
      </c>
    </row>
    <row r="168" spans="2:8" x14ac:dyDescent="0.3">
      <c r="H168" s="5">
        <f t="shared" si="12"/>
        <v>0.10176148461324225</v>
      </c>
    </row>
    <row r="169" spans="2:8" x14ac:dyDescent="0.3">
      <c r="H169" s="5">
        <f t="shared" si="12"/>
        <v>-3.2484638391783789E-2</v>
      </c>
    </row>
    <row r="170" spans="2:8" x14ac:dyDescent="0.3">
      <c r="H170" s="5">
        <f t="shared" si="12"/>
        <v>6.778837596316184E-2</v>
      </c>
    </row>
    <row r="171" spans="2:8" x14ac:dyDescent="0.3">
      <c r="H171" s="5">
        <f t="shared" si="12"/>
        <v>-5.7201433354378189E-2</v>
      </c>
    </row>
    <row r="172" spans="2:8" x14ac:dyDescent="0.3">
      <c r="H172" s="5">
        <f t="shared" si="12"/>
        <v>-6.5437154138143466E-2</v>
      </c>
    </row>
    <row r="173" spans="2:8" x14ac:dyDescent="0.3">
      <c r="H173" s="5">
        <f>SUMPRODUCT($C$167:$F$167, D98:G98)</f>
        <v>8.3279669678086643E-2</v>
      </c>
    </row>
    <row r="174" spans="2:8" x14ac:dyDescent="0.3">
      <c r="C174" t="s">
        <v>76</v>
      </c>
      <c r="H174" s="5">
        <f t="shared" si="12"/>
        <v>2.0909493519127687E-2</v>
      </c>
    </row>
    <row r="175" spans="2:8" x14ac:dyDescent="0.3">
      <c r="H175" s="5">
        <f t="shared" si="12"/>
        <v>-1.608616691931487E-2</v>
      </c>
    </row>
    <row r="176" spans="2:8" x14ac:dyDescent="0.3">
      <c r="C176" s="6">
        <f>(H204-0.01)/H205</f>
        <v>1.2072946822269679</v>
      </c>
      <c r="D176" t="s">
        <v>77</v>
      </c>
      <c r="H176" s="5">
        <f t="shared" si="12"/>
        <v>-2.3286005339621423E-2</v>
      </c>
    </row>
    <row r="177" spans="2:8" x14ac:dyDescent="0.3">
      <c r="H177" s="5">
        <f t="shared" si="12"/>
        <v>9.7847071532123596E-3</v>
      </c>
    </row>
    <row r="178" spans="2:8" x14ac:dyDescent="0.3">
      <c r="H178" s="5">
        <f t="shared" si="12"/>
        <v>0.10450366773830944</v>
      </c>
    </row>
    <row r="179" spans="2:8" x14ac:dyDescent="0.3">
      <c r="B179" s="5"/>
      <c r="C179" s="6" t="s">
        <v>78</v>
      </c>
      <c r="D179" s="5"/>
      <c r="H179" s="5">
        <f t="shared" si="12"/>
        <v>1.7449285288253551E-2</v>
      </c>
    </row>
    <row r="180" spans="2:8" x14ac:dyDescent="0.3">
      <c r="B180" s="5"/>
      <c r="C180" s="5" t="s">
        <v>81</v>
      </c>
      <c r="D180" s="5" t="s">
        <v>82</v>
      </c>
      <c r="H180" s="5">
        <f t="shared" si="12"/>
        <v>1.6785344308457642E-2</v>
      </c>
    </row>
    <row r="181" spans="2:8" x14ac:dyDescent="0.3">
      <c r="B181" s="5" t="s">
        <v>79</v>
      </c>
      <c r="C181" s="39">
        <v>0.01</v>
      </c>
      <c r="D181" s="40">
        <f>H204</f>
        <v>0.23309307655149375</v>
      </c>
      <c r="H181" s="5">
        <f t="shared" si="12"/>
        <v>5.55128238479113E-2</v>
      </c>
    </row>
    <row r="182" spans="2:8" x14ac:dyDescent="0.3">
      <c r="B182" s="5" t="s">
        <v>80</v>
      </c>
      <c r="C182" s="39">
        <v>0</v>
      </c>
      <c r="D182" s="40">
        <f>H205</f>
        <v>0.18478759149338561</v>
      </c>
      <c r="H182" s="5">
        <f t="shared" si="12"/>
        <v>4.5777167830373763E-2</v>
      </c>
    </row>
    <row r="183" spans="2:8" x14ac:dyDescent="0.3">
      <c r="H183" s="5">
        <f t="shared" si="12"/>
        <v>8.63748210000128E-3</v>
      </c>
    </row>
    <row r="184" spans="2:8" x14ac:dyDescent="0.3">
      <c r="H184" s="5">
        <f t="shared" si="12"/>
        <v>6.9147966461036353E-2</v>
      </c>
    </row>
    <row r="185" spans="2:8" x14ac:dyDescent="0.3">
      <c r="H185" s="5">
        <f t="shared" si="12"/>
        <v>-2.2794041810969546E-2</v>
      </c>
    </row>
    <row r="186" spans="2:8" x14ac:dyDescent="0.3">
      <c r="H186" s="5">
        <f t="shared" si="12"/>
        <v>3.8855418558385105E-2</v>
      </c>
    </row>
    <row r="187" spans="2:8" x14ac:dyDescent="0.3">
      <c r="H187" s="5">
        <f t="shared" si="12"/>
        <v>-7.5796945195368559E-2</v>
      </c>
    </row>
    <row r="188" spans="2:8" x14ac:dyDescent="0.3">
      <c r="H188" s="5">
        <f t="shared" si="12"/>
        <v>4.2342850695971671E-2</v>
      </c>
    </row>
    <row r="189" spans="2:8" x14ac:dyDescent="0.3">
      <c r="H189" s="5">
        <f t="shared" si="12"/>
        <v>2.2488151418640703E-3</v>
      </c>
    </row>
    <row r="190" spans="2:8" x14ac:dyDescent="0.3">
      <c r="H190" s="5">
        <f t="shared" si="12"/>
        <v>2.5729360288410469E-2</v>
      </c>
    </row>
    <row r="191" spans="2:8" x14ac:dyDescent="0.3">
      <c r="H191" s="5">
        <f t="shared" si="12"/>
        <v>-9.137095306395478E-3</v>
      </c>
    </row>
    <row r="192" spans="2:8" x14ac:dyDescent="0.3">
      <c r="H192" s="5">
        <f t="shared" si="12"/>
        <v>-2.2495890456563486E-2</v>
      </c>
    </row>
    <row r="193" spans="7:8" x14ac:dyDescent="0.3">
      <c r="H193" s="5">
        <f t="shared" si="12"/>
        <v>1.3019471384137234E-2</v>
      </c>
    </row>
    <row r="194" spans="7:8" x14ac:dyDescent="0.3">
      <c r="H194" s="5">
        <f t="shared" si="12"/>
        <v>1.0935700016282177E-2</v>
      </c>
    </row>
    <row r="195" spans="7:8" x14ac:dyDescent="0.3">
      <c r="H195" s="5">
        <f t="shared" si="12"/>
        <v>-0.1081823302555497</v>
      </c>
    </row>
    <row r="196" spans="7:8" x14ac:dyDescent="0.3">
      <c r="H196" s="5">
        <f t="shared" si="12"/>
        <v>3.0152999629183396E-2</v>
      </c>
    </row>
    <row r="197" spans="7:8" x14ac:dyDescent="0.3">
      <c r="H197" s="5">
        <f t="shared" si="12"/>
        <v>4.8422306859767374E-2</v>
      </c>
    </row>
    <row r="198" spans="7:8" x14ac:dyDescent="0.3">
      <c r="H198" s="5">
        <f t="shared" si="12"/>
        <v>-3.2077263026922154E-2</v>
      </c>
    </row>
    <row r="199" spans="7:8" x14ac:dyDescent="0.3">
      <c r="H199" s="5">
        <f t="shared" si="12"/>
        <v>4.9210065761548655E-2</v>
      </c>
    </row>
    <row r="200" spans="7:8" x14ac:dyDescent="0.3">
      <c r="H200" s="5">
        <f t="shared" si="12"/>
        <v>1.2290235273637784E-2</v>
      </c>
    </row>
    <row r="201" spans="7:8" ht="15" thickBot="1" x14ac:dyDescent="0.35">
      <c r="H201" s="30">
        <f t="shared" si="12"/>
        <v>8.9381675563392923E-2</v>
      </c>
    </row>
    <row r="202" spans="7:8" x14ac:dyDescent="0.3">
      <c r="G202" s="5" t="s">
        <v>70</v>
      </c>
      <c r="H202" s="18">
        <f>AVERAGE(H166:H201)</f>
        <v>1.9424423045957814E-2</v>
      </c>
    </row>
    <row r="203" spans="7:8" x14ac:dyDescent="0.3">
      <c r="G203" s="5" t="s">
        <v>71</v>
      </c>
      <c r="H203" s="19">
        <f>STDEV(H166:H201)</f>
        <v>5.3343582845804392E-2</v>
      </c>
    </row>
    <row r="204" spans="7:8" x14ac:dyDescent="0.3">
      <c r="G204" s="14" t="s">
        <v>72</v>
      </c>
      <c r="H204" s="32">
        <f>H202*12</f>
        <v>0.23309307655149375</v>
      </c>
    </row>
    <row r="205" spans="7:8" x14ac:dyDescent="0.3">
      <c r="G205" s="15" t="s">
        <v>73</v>
      </c>
      <c r="H205" s="35">
        <f>H203*SQRT(12)</f>
        <v>0.18478759149338561</v>
      </c>
    </row>
    <row r="210" spans="2:7" ht="18" x14ac:dyDescent="0.35">
      <c r="B210" s="1" t="s">
        <v>100</v>
      </c>
    </row>
    <row r="213" spans="2:7" x14ac:dyDescent="0.3">
      <c r="C213" s="6" t="s">
        <v>75</v>
      </c>
      <c r="D213" s="6" t="s">
        <v>1</v>
      </c>
      <c r="E213" s="6" t="s">
        <v>2</v>
      </c>
      <c r="F213" s="6" t="s">
        <v>3</v>
      </c>
      <c r="G213" s="6" t="s">
        <v>4</v>
      </c>
    </row>
    <row r="214" spans="2:7" x14ac:dyDescent="0.3">
      <c r="C214" s="5">
        <v>0.13241050642788854</v>
      </c>
      <c r="D214" s="5">
        <v>0.13632616828355837</v>
      </c>
      <c r="E214" s="5">
        <v>0.14420803782505898</v>
      </c>
      <c r="F214" s="5">
        <v>7.2610604525498168E-2</v>
      </c>
      <c r="G214" s="5">
        <v>0.14172066465644462</v>
      </c>
    </row>
    <row r="215" spans="2:7" x14ac:dyDescent="0.3">
      <c r="C215" s="5">
        <v>6.7921319747848555E-2</v>
      </c>
      <c r="D215" s="5">
        <v>2.2543384855755688E-2</v>
      </c>
      <c r="E215" s="5">
        <v>-8.5977072780590857E-3</v>
      </c>
      <c r="F215" s="5">
        <v>2.5881612090679962E-2</v>
      </c>
      <c r="G215" s="5">
        <v>0.13446841986963354</v>
      </c>
    </row>
    <row r="216" spans="2:7" x14ac:dyDescent="0.3">
      <c r="C216" s="5">
        <v>0.10176148461324225</v>
      </c>
      <c r="D216" s="5">
        <v>0.11055934515688937</v>
      </c>
      <c r="E216" s="5">
        <v>-5.4588235294117715E-2</v>
      </c>
      <c r="F216" s="5">
        <v>2.7377079368976709E-2</v>
      </c>
      <c r="G216" s="5">
        <v>0.10639457130120356</v>
      </c>
    </row>
    <row r="217" spans="2:7" x14ac:dyDescent="0.3">
      <c r="C217" s="5">
        <v>-3.2484638391783789E-2</v>
      </c>
      <c r="D217" s="5">
        <v>7.3706451771411441E-3</v>
      </c>
      <c r="E217" s="5">
        <v>3.6478702979449551E-2</v>
      </c>
      <c r="F217" s="5">
        <v>0.10790464240903397</v>
      </c>
      <c r="G217" s="5">
        <v>-0.1153691185029323</v>
      </c>
    </row>
    <row r="218" spans="2:7" x14ac:dyDescent="0.3">
      <c r="C218" s="5">
        <v>6.778837596316184E-2</v>
      </c>
      <c r="D218" s="5">
        <v>0.1000926784059315</v>
      </c>
      <c r="E218" s="5">
        <v>5.2483534577387525E-2</v>
      </c>
      <c r="F218" s="5">
        <v>-3.2357223750202335E-3</v>
      </c>
      <c r="G218" s="5">
        <v>4.3471659919028349E-2</v>
      </c>
    </row>
    <row r="219" spans="2:7" x14ac:dyDescent="0.3">
      <c r="C219" s="5">
        <v>-5.7201433354378189E-2</v>
      </c>
      <c r="D219" s="5">
        <v>-6.7396798652063938E-2</v>
      </c>
      <c r="E219" s="5">
        <v>-2.9528713903917647E-2</v>
      </c>
      <c r="F219" s="5">
        <v>-4.171400746632048E-2</v>
      </c>
      <c r="G219" s="5">
        <v>-4.7625976041515083E-2</v>
      </c>
    </row>
    <row r="220" spans="2:7" x14ac:dyDescent="0.3">
      <c r="C220" s="5">
        <v>-6.5437154138143466E-2</v>
      </c>
      <c r="D220" s="5">
        <v>-3.7369847382684451E-2</v>
      </c>
      <c r="E220" s="5">
        <v>-7.9056958624395324E-2</v>
      </c>
      <c r="F220" s="5">
        <v>-5.1942186088528297E-3</v>
      </c>
      <c r="G220" s="5">
        <v>-0.11539440851453886</v>
      </c>
    </row>
    <row r="221" spans="2:7" x14ac:dyDescent="0.3">
      <c r="C221" s="5">
        <v>8.3279669678086643E-2</v>
      </c>
      <c r="D221" s="5">
        <v>5.7292438385933675E-2</v>
      </c>
      <c r="E221" s="5">
        <v>5.5211144336663853E-2</v>
      </c>
      <c r="F221" s="5">
        <v>-5.4086265607264483E-2</v>
      </c>
      <c r="G221" s="5">
        <v>0.14835069944159796</v>
      </c>
    </row>
    <row r="222" spans="2:7" x14ac:dyDescent="0.3">
      <c r="C222" s="5">
        <v>2.0909493519127687E-2</v>
      </c>
      <c r="D222" s="5">
        <v>3.9005932638856322E-2</v>
      </c>
      <c r="E222" s="5">
        <v>8.7779928117224237E-2</v>
      </c>
      <c r="F222" s="5">
        <v>7.013859722805571E-2</v>
      </c>
      <c r="G222" s="5">
        <v>-1.2883497092440299E-2</v>
      </c>
    </row>
    <row r="223" spans="2:7" x14ac:dyDescent="0.3">
      <c r="C223" s="5">
        <v>-1.608616691931487E-2</v>
      </c>
      <c r="D223" s="5">
        <v>4.289182627461563E-2</v>
      </c>
      <c r="E223" s="5">
        <v>3.6535773287584172E-2</v>
      </c>
      <c r="F223" s="5">
        <v>-3.2238169993272003E-2</v>
      </c>
      <c r="G223" s="5">
        <v>-8.6384642730181316E-2</v>
      </c>
    </row>
    <row r="224" spans="2:7" x14ac:dyDescent="0.3">
      <c r="C224" s="5">
        <v>-2.3286005339621423E-2</v>
      </c>
      <c r="D224" s="5">
        <v>1.8106570098292973E-3</v>
      </c>
      <c r="E224" s="5">
        <v>-2.8627475019922688E-2</v>
      </c>
      <c r="F224" s="5">
        <v>-6.2568796709344787E-2</v>
      </c>
      <c r="G224" s="5">
        <v>-4.5858810450250198E-2</v>
      </c>
    </row>
    <row r="225" spans="3:7" x14ac:dyDescent="0.3">
      <c r="C225" s="5">
        <v>9.7847071532123596E-3</v>
      </c>
      <c r="D225" s="5">
        <v>1.4588174541698917E-2</v>
      </c>
      <c r="E225" s="5">
        <v>3.7170263788968816E-2</v>
      </c>
      <c r="F225" s="5">
        <v>-1.1433162350905302E-2</v>
      </c>
      <c r="G225" s="5">
        <v>9.0300029129042336E-3</v>
      </c>
    </row>
    <row r="226" spans="3:7" x14ac:dyDescent="0.3">
      <c r="C226" s="5">
        <v>0.10450366773830944</v>
      </c>
      <c r="D226" s="5">
        <v>6.9601730500063574E-2</v>
      </c>
      <c r="E226" s="5">
        <v>-9.8570124733800002E-3</v>
      </c>
      <c r="F226" s="5">
        <v>3.5633908477119114E-2</v>
      </c>
      <c r="G226" s="5">
        <v>0.1636836027713624</v>
      </c>
    </row>
    <row r="227" spans="3:7" x14ac:dyDescent="0.3">
      <c r="C227" s="5">
        <v>1.7449285288253551E-2</v>
      </c>
      <c r="D227" s="5">
        <v>-9.9135538107700816E-3</v>
      </c>
      <c r="E227" s="5">
        <v>4.0066367602777708E-2</v>
      </c>
      <c r="F227" s="5">
        <v>7.6783773994929305E-2</v>
      </c>
      <c r="G227" s="5">
        <v>3.8352766063011634E-2</v>
      </c>
    </row>
    <row r="228" spans="3:7" x14ac:dyDescent="0.3">
      <c r="C228" s="5">
        <v>1.6785344308457642E-2</v>
      </c>
      <c r="D228" s="5">
        <v>8.4988785645626175E-2</v>
      </c>
      <c r="E228" s="5">
        <v>-2.6646971935007313E-2</v>
      </c>
      <c r="F228" s="5">
        <v>-7.1476622939791512E-2</v>
      </c>
      <c r="G228" s="5">
        <v>-4.9264143730886834E-2</v>
      </c>
    </row>
    <row r="229" spans="3:7" x14ac:dyDescent="0.3">
      <c r="C229" s="5">
        <v>5.55128238479113E-2</v>
      </c>
      <c r="D229" s="5">
        <v>5.1716500553710132E-2</v>
      </c>
      <c r="E229" s="5">
        <v>4.5283476994051108E-2</v>
      </c>
      <c r="F229" s="5">
        <v>2.5297349513976997E-2</v>
      </c>
      <c r="G229" s="5">
        <v>6.7346836206463312E-2</v>
      </c>
    </row>
    <row r="230" spans="3:7" x14ac:dyDescent="0.3">
      <c r="C230" s="5">
        <v>4.5777167830373763E-2</v>
      </c>
      <c r="D230" s="5">
        <v>5.9562668912990002E-2</v>
      </c>
      <c r="E230" s="5">
        <v>5.4006968641115982E-3</v>
      </c>
      <c r="F230" s="5">
        <v>-7.6551642916022899E-4</v>
      </c>
      <c r="G230" s="5">
        <v>3.8847294815651967E-2</v>
      </c>
    </row>
    <row r="231" spans="3:7" x14ac:dyDescent="0.3">
      <c r="C231" s="5">
        <v>8.63748210000128E-3</v>
      </c>
      <c r="D231" s="5">
        <v>-6.6118987677222685E-2</v>
      </c>
      <c r="E231" s="5">
        <v>-6.7174955235949851E-2</v>
      </c>
      <c r="F231" s="5">
        <v>-3.2235252519299928E-2</v>
      </c>
      <c r="G231" s="5">
        <v>0.11213851871997083</v>
      </c>
    </row>
    <row r="232" spans="3:7" x14ac:dyDescent="0.3">
      <c r="C232" s="5">
        <v>6.9147966461036353E-2</v>
      </c>
      <c r="D232" s="5">
        <v>0.1762911464245176</v>
      </c>
      <c r="E232" s="5">
        <v>8.544891640866803E-3</v>
      </c>
      <c r="F232" s="5">
        <v>1.479722323712096E-2</v>
      </c>
      <c r="G232" s="5">
        <v>-5.4450603195304814E-2</v>
      </c>
    </row>
    <row r="233" spans="3:7" x14ac:dyDescent="0.3">
      <c r="C233" s="5">
        <v>-2.2794041810969546E-2</v>
      </c>
      <c r="D233" s="5">
        <v>-3.105964658344007E-3</v>
      </c>
      <c r="E233" s="5">
        <v>-4.2669449901768131E-2</v>
      </c>
      <c r="F233" s="5">
        <v>-6.9006900690069539E-3</v>
      </c>
      <c r="G233" s="5">
        <v>-5.1724137931034364E-2</v>
      </c>
    </row>
    <row r="234" spans="3:7" x14ac:dyDescent="0.3">
      <c r="C234" s="5">
        <v>3.8855418558385105E-2</v>
      </c>
      <c r="D234" s="5">
        <v>1.7332647690492919E-2</v>
      </c>
      <c r="E234" s="5">
        <v>9.7094850253318654E-2</v>
      </c>
      <c r="F234" s="5">
        <v>3.2990936555891359E-2</v>
      </c>
      <c r="G234" s="5">
        <v>6.8181818181818121E-2</v>
      </c>
    </row>
    <row r="235" spans="3:7" x14ac:dyDescent="0.3">
      <c r="C235" s="5">
        <v>-7.5796945195368559E-2</v>
      </c>
      <c r="D235" s="5">
        <v>-7.5344909609895261E-2</v>
      </c>
      <c r="E235" s="5">
        <v>7.1315835622844936E-3</v>
      </c>
      <c r="F235" s="5">
        <v>-1.6787552643893311E-2</v>
      </c>
      <c r="G235" s="5">
        <v>-8.9361702127659592E-2</v>
      </c>
    </row>
    <row r="236" spans="3:7" x14ac:dyDescent="0.3">
      <c r="C236" s="5">
        <v>4.2342850695971671E-2</v>
      </c>
      <c r="D236" s="5">
        <v>-3.9198662293395081E-2</v>
      </c>
      <c r="E236" s="5">
        <v>-4.4808172267688184E-2</v>
      </c>
      <c r="F236" s="5">
        <v>6.1217205068713199E-2</v>
      </c>
      <c r="G236" s="5">
        <v>0.14018691588785037</v>
      </c>
    </row>
    <row r="237" spans="3:7" x14ac:dyDescent="0.3">
      <c r="C237" s="5">
        <v>2.2488151418640703E-3</v>
      </c>
      <c r="D237" s="5">
        <v>3.1861842765822157E-2</v>
      </c>
      <c r="E237" s="5">
        <v>7.6927751108950559E-2</v>
      </c>
      <c r="F237" s="5">
        <v>1.27256418881041E-2</v>
      </c>
      <c r="G237" s="5">
        <v>-3.688524590163933E-2</v>
      </c>
    </row>
    <row r="238" spans="3:7" x14ac:dyDescent="0.3">
      <c r="C238" s="5">
        <v>2.5729360288410469E-2</v>
      </c>
      <c r="D238" s="5">
        <v>-9.9867016963445909E-2</v>
      </c>
      <c r="E238" s="5">
        <v>1.8224905490041188E-2</v>
      </c>
      <c r="F238" s="5">
        <v>-2.0703016883476422E-2</v>
      </c>
      <c r="G238" s="5">
        <v>0.19574468085106389</v>
      </c>
    </row>
    <row r="239" spans="3:7" x14ac:dyDescent="0.3">
      <c r="C239" s="5">
        <v>-9.137095306395478E-3</v>
      </c>
      <c r="D239" s="5">
        <v>-2.0358893052752847E-2</v>
      </c>
      <c r="E239" s="5">
        <v>-5.1534966197496201E-3</v>
      </c>
      <c r="F239" s="5">
        <v>-3.2615454185744186E-2</v>
      </c>
      <c r="G239" s="5">
        <v>1.0676156583629748E-2</v>
      </c>
    </row>
    <row r="240" spans="3:7" x14ac:dyDescent="0.3">
      <c r="C240" s="5">
        <v>-2.2495890456563486E-2</v>
      </c>
      <c r="D240" s="5">
        <v>-5.5320557619450539E-2</v>
      </c>
      <c r="E240" s="5">
        <v>-1.1251601403665212E-2</v>
      </c>
      <c r="F240" s="5">
        <v>-1.5659693817926756E-2</v>
      </c>
      <c r="G240" s="5">
        <v>1.7605633802816989E-2</v>
      </c>
    </row>
    <row r="241" spans="3:9" x14ac:dyDescent="0.3">
      <c r="C241" s="5">
        <v>1.3019471384137234E-2</v>
      </c>
      <c r="D241" s="5">
        <v>9.3096600864385204E-2</v>
      </c>
      <c r="E241" s="5">
        <v>-1.6844121457945893E-2</v>
      </c>
      <c r="F241" s="5">
        <v>-2.5881514899679492E-2</v>
      </c>
      <c r="G241" s="5">
        <v>-7.9584775086505188E-2</v>
      </c>
    </row>
    <row r="242" spans="3:9" x14ac:dyDescent="0.3">
      <c r="C242" s="5">
        <v>1.0935700016282177E-2</v>
      </c>
      <c r="D242" s="5">
        <v>-6.8640022796893851E-2</v>
      </c>
      <c r="E242" s="5">
        <v>-7.552143020857216E-2</v>
      </c>
      <c r="F242" s="5">
        <v>-2.9433272394881027E-2</v>
      </c>
      <c r="G242" s="5">
        <v>0.12030075187969924</v>
      </c>
    </row>
    <row r="243" spans="3:9" x14ac:dyDescent="0.3">
      <c r="C243" s="5">
        <v>-0.1081823302555497</v>
      </c>
      <c r="D243" s="5">
        <v>-0.10926683749569743</v>
      </c>
      <c r="E243" s="5">
        <v>1.2520143795710981E-2</v>
      </c>
      <c r="F243" s="5">
        <v>-2.8881773089721952E-2</v>
      </c>
      <c r="G243" s="5">
        <v>-0.12416107382550334</v>
      </c>
    </row>
    <row r="244" spans="3:9" x14ac:dyDescent="0.3">
      <c r="C244" s="5">
        <v>3.0152999629183396E-2</v>
      </c>
      <c r="D244" s="5">
        <v>-3.3061399742378983E-3</v>
      </c>
      <c r="E244" s="5">
        <v>6.4948579823702168E-2</v>
      </c>
      <c r="F244" s="5">
        <v>-1.7844443007693722E-2</v>
      </c>
      <c r="G244" s="5">
        <v>8.4291187739463647E-2</v>
      </c>
    </row>
    <row r="245" spans="3:9" x14ac:dyDescent="0.3">
      <c r="C245" s="5">
        <v>4.8422306859767374E-2</v>
      </c>
      <c r="D245" s="5">
        <v>9.9125490027139884E-2</v>
      </c>
      <c r="E245" s="5">
        <v>2.3164913490831829E-2</v>
      </c>
      <c r="F245" s="5">
        <v>8.4918701862945145E-2</v>
      </c>
      <c r="G245" s="5">
        <v>-2.4734982332155542E-2</v>
      </c>
    </row>
    <row r="246" spans="3:9" x14ac:dyDescent="0.3">
      <c r="C246" s="5">
        <v>-3.2077263026922154E-2</v>
      </c>
      <c r="D246" s="5">
        <v>-6.0045465234773054E-2</v>
      </c>
      <c r="E246" s="5">
        <v>-7.5842696629213613E-3</v>
      </c>
      <c r="F246" s="5">
        <v>2.930647412171572E-2</v>
      </c>
      <c r="G246" s="5">
        <v>-1.0869565217391242E-2</v>
      </c>
    </row>
    <row r="247" spans="3:9" x14ac:dyDescent="0.3">
      <c r="C247" s="5">
        <v>4.9210065761548655E-2</v>
      </c>
      <c r="D247" s="5">
        <v>3.3316654157284686E-2</v>
      </c>
      <c r="E247" s="5">
        <v>-7.4893857911123796E-2</v>
      </c>
      <c r="F247" s="5">
        <v>5.7592548927139831E-2</v>
      </c>
      <c r="G247" s="5">
        <v>6.5934065934065922E-2</v>
      </c>
    </row>
    <row r="248" spans="3:9" x14ac:dyDescent="0.3">
      <c r="C248" s="5">
        <v>1.2290235273637784E-2</v>
      </c>
      <c r="D248" s="5">
        <v>6.4969129575076501E-3</v>
      </c>
      <c r="E248" s="5">
        <v>-6.2171092889487189E-2</v>
      </c>
      <c r="F248" s="5">
        <v>-5.3675937796109463E-2</v>
      </c>
      <c r="G248" s="5">
        <v>3.4364261168384758E-2</v>
      </c>
      <c r="I248" s="6" t="s">
        <v>90</v>
      </c>
    </row>
    <row r="249" spans="3:9" x14ac:dyDescent="0.3">
      <c r="C249" s="5">
        <v>8.9381675563392923E-2</v>
      </c>
      <c r="D249" s="5">
        <v>0.15588164541736838</v>
      </c>
      <c r="E249" s="5">
        <v>1.1353255904998028E-2</v>
      </c>
      <c r="F249" s="5">
        <v>7.9161267522676493E-2</v>
      </c>
      <c r="G249" s="5">
        <v>6.6445182724252927E-3</v>
      </c>
      <c r="I249" s="5">
        <f>_xlfn.VAR.S(C214:C249)</f>
        <v>2.845537830827197E-3</v>
      </c>
    </row>
    <row r="251" spans="3:9" x14ac:dyDescent="0.3">
      <c r="C251" s="6" t="s">
        <v>89</v>
      </c>
      <c r="D251" s="5" t="s">
        <v>88</v>
      </c>
      <c r="E251" s="5"/>
    </row>
    <row r="259" spans="2:9" x14ac:dyDescent="0.3">
      <c r="B259" s="8" t="s">
        <v>1</v>
      </c>
      <c r="G259" s="8" t="s">
        <v>2</v>
      </c>
    </row>
    <row r="270" spans="2:9" x14ac:dyDescent="0.3">
      <c r="C270" s="6" t="s">
        <v>87</v>
      </c>
      <c r="D270" s="5">
        <f>(_xlfn.COVARIANCE.S(D214:D249, $C$214:$C$249))/$I$249</f>
        <v>0.9958467712728164</v>
      </c>
      <c r="H270" s="6" t="s">
        <v>87</v>
      </c>
      <c r="I270" s="5">
        <f>(_xlfn.COVARIANCE.S(E214:E249, $C$214:$C$249))/$I$249</f>
        <v>0.27724290418184788</v>
      </c>
    </row>
    <row r="272" spans="2:9" x14ac:dyDescent="0.3">
      <c r="C272" s="6" t="s">
        <v>84</v>
      </c>
      <c r="D272" s="6" t="s">
        <v>83</v>
      </c>
      <c r="H272" s="6" t="s">
        <v>84</v>
      </c>
      <c r="I272" s="6" t="s">
        <v>83</v>
      </c>
    </row>
    <row r="273" spans="2:9" x14ac:dyDescent="0.3">
      <c r="C273" s="5" t="s">
        <v>85</v>
      </c>
      <c r="D273" s="5">
        <v>0.99580000000000002</v>
      </c>
      <c r="H273" s="5" t="s">
        <v>85</v>
      </c>
      <c r="I273" s="5">
        <v>0.2772</v>
      </c>
    </row>
    <row r="274" spans="2:9" x14ac:dyDescent="0.3">
      <c r="C274" s="5" t="s">
        <v>86</v>
      </c>
      <c r="D274" s="5">
        <v>0.9958467712728164</v>
      </c>
      <c r="H274" s="5" t="s">
        <v>86</v>
      </c>
      <c r="I274" s="5">
        <v>0.27724290418184788</v>
      </c>
    </row>
    <row r="283" spans="2:9" x14ac:dyDescent="0.3">
      <c r="B283" s="8" t="s">
        <v>3</v>
      </c>
      <c r="G283" s="8" t="s">
        <v>4</v>
      </c>
    </row>
    <row r="294" spans="3:11" x14ac:dyDescent="0.3">
      <c r="C294" s="6" t="s">
        <v>87</v>
      </c>
      <c r="D294" s="5">
        <f>(_xlfn.COVARIANCE.S(F214:F249, $C$214:$C$249))/$I$249</f>
        <v>0.33021542891541456</v>
      </c>
      <c r="H294" s="6" t="s">
        <v>87</v>
      </c>
      <c r="I294" s="5">
        <f>(_xlfn.COVARIANCE.S(G214:G249, $C$214:$C$249))/$I$249</f>
        <v>1.1552475829064914</v>
      </c>
    </row>
    <row r="296" spans="3:11" x14ac:dyDescent="0.3">
      <c r="C296" s="6" t="s">
        <v>84</v>
      </c>
      <c r="D296" s="6" t="s">
        <v>83</v>
      </c>
      <c r="H296" s="6" t="s">
        <v>84</v>
      </c>
      <c r="I296" s="6" t="s">
        <v>83</v>
      </c>
    </row>
    <row r="297" spans="3:11" x14ac:dyDescent="0.3">
      <c r="C297" s="5" t="s">
        <v>85</v>
      </c>
      <c r="D297" s="5">
        <v>0.33019999999999999</v>
      </c>
      <c r="H297" s="5" t="s">
        <v>85</v>
      </c>
      <c r="I297" s="5">
        <v>1.1552</v>
      </c>
    </row>
    <row r="298" spans="3:11" x14ac:dyDescent="0.3">
      <c r="C298" s="5" t="s">
        <v>86</v>
      </c>
      <c r="D298" s="5">
        <v>0.33021542891541456</v>
      </c>
      <c r="H298" s="5" t="s">
        <v>86</v>
      </c>
      <c r="I298" s="5">
        <v>1.1552475829064914</v>
      </c>
    </row>
    <row r="301" spans="3:11" x14ac:dyDescent="0.3">
      <c r="C301" t="s">
        <v>93</v>
      </c>
    </row>
    <row r="302" spans="3:11" x14ac:dyDescent="0.3">
      <c r="C302" t="s">
        <v>96</v>
      </c>
    </row>
    <row r="304" spans="3:11" x14ac:dyDescent="0.3">
      <c r="C304" s="6"/>
      <c r="D304" s="6" t="s">
        <v>1</v>
      </c>
      <c r="E304" s="6" t="s">
        <v>2</v>
      </c>
      <c r="F304" s="6" t="s">
        <v>3</v>
      </c>
      <c r="G304" s="6" t="s">
        <v>4</v>
      </c>
      <c r="I304" s="6" t="s">
        <v>91</v>
      </c>
      <c r="J304" s="6" t="s">
        <v>92</v>
      </c>
      <c r="K304" s="6" t="s">
        <v>97</v>
      </c>
    </row>
    <row r="305" spans="3:11" x14ac:dyDescent="0.3">
      <c r="C305" s="6" t="s">
        <v>83</v>
      </c>
      <c r="D305" s="5">
        <v>0.9958467712728164</v>
      </c>
      <c r="E305" s="5">
        <v>0.27724290418184788</v>
      </c>
      <c r="F305" s="5">
        <v>0.33021542891541456</v>
      </c>
      <c r="G305" s="5">
        <v>1.1552475829064914</v>
      </c>
      <c r="I305" s="5">
        <f>0.01</f>
        <v>0.01</v>
      </c>
      <c r="J305" s="5">
        <v>0.23309307655149375</v>
      </c>
      <c r="K305" s="5">
        <v>0.18478759149338561</v>
      </c>
    </row>
    <row r="306" spans="3:11" x14ac:dyDescent="0.3">
      <c r="C306" s="6" t="s">
        <v>94</v>
      </c>
      <c r="D306" s="5">
        <f>$I$305+(D305*($J$305-$I$305))</f>
        <v>0.23216651997712431</v>
      </c>
      <c r="E306" s="5">
        <f t="shared" ref="E306:G306" si="13">$I$305+(E305*($J$305-$I$305))</f>
        <v>7.1850972445999431E-2</v>
      </c>
      <c r="F306" s="5">
        <f t="shared" si="13"/>
        <v>8.3668775961510913E-2</v>
      </c>
      <c r="G306" s="5">
        <f t="shared" si="13"/>
        <v>0.26772773744928602</v>
      </c>
    </row>
    <row r="307" spans="3:11" x14ac:dyDescent="0.3">
      <c r="C307" s="6" t="s">
        <v>95</v>
      </c>
      <c r="D307" s="5">
        <f>D305*$K$305</f>
        <v>0.18402012635996823</v>
      </c>
      <c r="E307" s="5">
        <f t="shared" ref="E307:G307" si="14">E305*$K$305</f>
        <v>5.1231048522395156E-2</v>
      </c>
      <c r="F307" s="5">
        <f t="shared" si="14"/>
        <v>6.1019713783234737E-2</v>
      </c>
      <c r="G307" s="5">
        <f t="shared" si="14"/>
        <v>0.21347541842384588</v>
      </c>
    </row>
    <row r="342" spans="2:5" ht="18" x14ac:dyDescent="0.35">
      <c r="B342" s="1" t="s">
        <v>117</v>
      </c>
    </row>
    <row r="343" spans="2:5" x14ac:dyDescent="0.3">
      <c r="C343" s="5"/>
      <c r="D343" s="6" t="s">
        <v>83</v>
      </c>
      <c r="E343" s="6" t="s">
        <v>72</v>
      </c>
    </row>
    <row r="344" spans="2:5" x14ac:dyDescent="0.3">
      <c r="C344" s="6" t="s">
        <v>1</v>
      </c>
      <c r="D344" s="5">
        <v>0.9958467712728164</v>
      </c>
      <c r="E344" s="49">
        <v>0.23216673980849706</v>
      </c>
    </row>
    <row r="345" spans="2:5" x14ac:dyDescent="0.3">
      <c r="C345" s="6" t="s">
        <v>2</v>
      </c>
      <c r="D345" s="5">
        <v>0.27724290418184788</v>
      </c>
      <c r="E345" s="49">
        <v>7.1851093118770359E-2</v>
      </c>
    </row>
    <row r="346" spans="2:5" x14ac:dyDescent="0.3">
      <c r="C346" s="6" t="s">
        <v>3</v>
      </c>
      <c r="D346" s="5">
        <v>0.33021542891541456</v>
      </c>
      <c r="E346" s="49">
        <v>8.3668827668403889E-2</v>
      </c>
    </row>
    <row r="347" spans="2:5" x14ac:dyDescent="0.3">
      <c r="C347" s="6" t="s">
        <v>4</v>
      </c>
      <c r="D347" s="5">
        <v>1.1552475829064914</v>
      </c>
      <c r="E347" s="49">
        <v>0.26772744809951732</v>
      </c>
    </row>
    <row r="348" spans="2:5" x14ac:dyDescent="0.3">
      <c r="C348" s="6" t="s">
        <v>98</v>
      </c>
      <c r="D348" s="5">
        <v>1</v>
      </c>
      <c r="E348" s="49">
        <v>0.23309307655149375</v>
      </c>
    </row>
    <row r="349" spans="2:5" x14ac:dyDescent="0.3">
      <c r="C349" s="6" t="s">
        <v>91</v>
      </c>
      <c r="D349" s="5">
        <v>0</v>
      </c>
      <c r="E349" s="51">
        <v>0.01</v>
      </c>
    </row>
    <row r="378" spans="2:8" x14ac:dyDescent="0.3">
      <c r="C378" t="s">
        <v>99</v>
      </c>
    </row>
    <row r="380" spans="2:8" x14ac:dyDescent="0.3">
      <c r="C380" t="s">
        <v>104</v>
      </c>
    </row>
    <row r="383" spans="2:8" x14ac:dyDescent="0.3">
      <c r="B383" t="s">
        <v>105</v>
      </c>
    </row>
    <row r="384" spans="2:8" x14ac:dyDescent="0.3">
      <c r="C384" s="6" t="s">
        <v>1</v>
      </c>
      <c r="D384" s="6" t="s">
        <v>2</v>
      </c>
      <c r="E384" s="6" t="s">
        <v>3</v>
      </c>
      <c r="F384" s="6" t="s">
        <v>4</v>
      </c>
      <c r="H384" s="6" t="s">
        <v>75</v>
      </c>
    </row>
    <row r="385" spans="3:8" x14ac:dyDescent="0.3">
      <c r="C385" s="5">
        <v>6.5764828303850109E-2</v>
      </c>
      <c r="D385" s="5">
        <v>5.6129032258064537E-2</v>
      </c>
      <c r="E385" s="5">
        <v>8.6235127169522752E-3</v>
      </c>
      <c r="F385" s="5">
        <v>2.3102310231023271E-2</v>
      </c>
      <c r="H385" s="5">
        <f>SUMPRODUCT(C385:F385,C$417:F$417)</f>
        <v>4.3267877651354258E-2</v>
      </c>
    </row>
    <row r="386" spans="3:8" x14ac:dyDescent="0.3">
      <c r="C386" s="5">
        <v>6.8769120614463386E-2</v>
      </c>
      <c r="D386" s="5">
        <v>-5.277947464874766E-2</v>
      </c>
      <c r="E386" s="5">
        <v>-1.3419913419913554E-2</v>
      </c>
      <c r="F386" s="5">
        <v>2.2580645161290214E-2</v>
      </c>
      <c r="H386" s="5">
        <f t="shared" ref="H386:H408" si="15">SUMPRODUCT(C386:F386,C$417:F$417)</f>
        <v>4.2998993785232351E-2</v>
      </c>
    </row>
    <row r="387" spans="3:8" x14ac:dyDescent="0.3">
      <c r="C387" s="5">
        <v>3.6998690581321103E-2</v>
      </c>
      <c r="D387" s="5">
        <v>6.7457758287114755E-2</v>
      </c>
      <c r="E387" s="5">
        <v>-2.2213690215006521E-2</v>
      </c>
      <c r="F387" s="5">
        <v>-5.0473186119873836E-2</v>
      </c>
      <c r="H387" s="5">
        <f t="shared" si="15"/>
        <v>-3.86291639423509E-3</v>
      </c>
    </row>
    <row r="388" spans="3:8" x14ac:dyDescent="0.3">
      <c r="C388" s="5">
        <v>-1.3566688201092414E-2</v>
      </c>
      <c r="D388" s="5">
        <v>1.2143547607539773E-2</v>
      </c>
      <c r="E388" s="5">
        <v>2.2886632635889192E-2</v>
      </c>
      <c r="F388" s="5">
        <v>4.6511627906976827E-2</v>
      </c>
      <c r="H388" s="5">
        <f t="shared" si="15"/>
        <v>1.3882624012047212E-2</v>
      </c>
    </row>
    <row r="389" spans="3:8" x14ac:dyDescent="0.3">
      <c r="C389" s="5">
        <v>-2.429149797570862E-2</v>
      </c>
      <c r="D389" s="5">
        <v>-3.4919118963767648E-2</v>
      </c>
      <c r="E389" s="5">
        <v>-1.2777625445571594E-2</v>
      </c>
      <c r="F389" s="5">
        <v>-9.52380952380949E-3</v>
      </c>
      <c r="H389" s="5">
        <f t="shared" si="15"/>
        <v>-1.7223618132510499E-2</v>
      </c>
    </row>
    <row r="390" spans="3:8" x14ac:dyDescent="0.3">
      <c r="C390" s="5">
        <v>-3.6642665364901128E-2</v>
      </c>
      <c r="D390" s="5">
        <v>-3.667738743196447E-2</v>
      </c>
      <c r="E390" s="5">
        <v>-4.7605821575380625E-2</v>
      </c>
      <c r="F390" s="5">
        <v>-3.8461538461538547E-2</v>
      </c>
      <c r="H390" s="5">
        <f t="shared" si="15"/>
        <v>-3.8412413823021269E-2</v>
      </c>
    </row>
    <row r="391" spans="3:8" x14ac:dyDescent="0.3">
      <c r="C391" s="5">
        <v>7.0815518606492489E-2</v>
      </c>
      <c r="D391" s="5">
        <v>-4.7576243980738342E-2</v>
      </c>
      <c r="E391" s="5">
        <v>7.3724117818606105E-2</v>
      </c>
      <c r="F391" s="5">
        <v>-5.6666666666666643E-2</v>
      </c>
      <c r="H391" s="5">
        <f t="shared" si="15"/>
        <v>2.0478810577325954E-2</v>
      </c>
    </row>
    <row r="392" spans="3:8" x14ac:dyDescent="0.3">
      <c r="C392" s="5">
        <v>0.1206707876134987</v>
      </c>
      <c r="D392" s="5">
        <v>4.2604826749359503E-2</v>
      </c>
      <c r="E392" s="5">
        <v>2.5313705252865359E-2</v>
      </c>
      <c r="F392" s="5">
        <v>8.8339222614840951E-2</v>
      </c>
      <c r="H392" s="5">
        <f t="shared" si="15"/>
        <v>9.9011301360898835E-2</v>
      </c>
    </row>
    <row r="393" spans="3:8" x14ac:dyDescent="0.3">
      <c r="C393" s="5">
        <v>-7.57435802697215E-3</v>
      </c>
      <c r="D393" s="5">
        <v>1.3448855554118788E-2</v>
      </c>
      <c r="E393" s="5">
        <v>1.2821192052980157E-2</v>
      </c>
      <c r="F393" s="5">
        <v>0.13311688311688319</v>
      </c>
      <c r="H393" s="5">
        <f t="shared" si="15"/>
        <v>5.0724551364678981E-2</v>
      </c>
    </row>
    <row r="394" spans="3:8" x14ac:dyDescent="0.3">
      <c r="C394" s="5">
        <v>5.7281140304222822E-2</v>
      </c>
      <c r="D394" s="5">
        <v>1.3780783463059887E-2</v>
      </c>
      <c r="E394" s="5">
        <v>-1.4228173876654315E-2</v>
      </c>
      <c r="F394" s="5">
        <v>5.7306590257879542E-3</v>
      </c>
      <c r="H394" s="5">
        <f t="shared" si="15"/>
        <v>3.0011074615401895E-2</v>
      </c>
    </row>
    <row r="395" spans="3:8" x14ac:dyDescent="0.3">
      <c r="C395" s="5">
        <v>4.0394386035514929E-2</v>
      </c>
      <c r="D395" s="5">
        <v>1.5607300188797968E-2</v>
      </c>
      <c r="E395" s="5">
        <v>4.5635447068188562E-3</v>
      </c>
      <c r="F395" s="5">
        <v>4.5584045584045718E-2</v>
      </c>
      <c r="H395" s="5">
        <f t="shared" si="15"/>
        <v>3.9192849851211395E-2</v>
      </c>
    </row>
    <row r="396" spans="3:8" x14ac:dyDescent="0.3">
      <c r="C396" s="5">
        <v>1.7116333043226017E-2</v>
      </c>
      <c r="D396" s="5">
        <v>-1.976700954269428E-2</v>
      </c>
      <c r="E396" s="5">
        <v>8.6683218002218565E-2</v>
      </c>
      <c r="F396" s="5">
        <v>8.1743869209809361E-3</v>
      </c>
      <c r="H396" s="5">
        <f t="shared" si="15"/>
        <v>2.0297613848049931E-2</v>
      </c>
    </row>
    <row r="397" spans="3:8" x14ac:dyDescent="0.3">
      <c r="C397" s="5">
        <v>-7.4610192051720925E-2</v>
      </c>
      <c r="D397" s="5">
        <v>-8.597256463746128E-2</v>
      </c>
      <c r="E397" s="5">
        <v>2.9895002916585645E-2</v>
      </c>
      <c r="F397" s="5">
        <v>-7.2972972972973005E-2</v>
      </c>
      <c r="H397" s="5">
        <f t="shared" si="15"/>
        <v>-6.3987175458437157E-2</v>
      </c>
    </row>
    <row r="398" spans="3:8" x14ac:dyDescent="0.3">
      <c r="C398" s="5">
        <v>6.6267690648036393E-2</v>
      </c>
      <c r="D398" s="5">
        <v>1.4385503838439506E-2</v>
      </c>
      <c r="E398" s="5">
        <v>1.6189172605843183E-2</v>
      </c>
      <c r="F398" s="5">
        <v>1.4577259475218707E-2</v>
      </c>
      <c r="H398" s="5">
        <f t="shared" si="15"/>
        <v>4.1013180320261584E-2</v>
      </c>
    </row>
    <row r="399" spans="3:8" x14ac:dyDescent="0.3">
      <c r="C399" s="5">
        <v>7.6650687736371736E-2</v>
      </c>
      <c r="D399" s="5">
        <v>-3.4771937001430997E-3</v>
      </c>
      <c r="E399" s="5">
        <v>-1.3469577333953264E-3</v>
      </c>
      <c r="F399" s="5">
        <v>-9.4827586206896575E-2</v>
      </c>
      <c r="H399" s="5">
        <f t="shared" si="15"/>
        <v>8.0584252397601641E-4</v>
      </c>
    </row>
    <row r="400" spans="3:8" x14ac:dyDescent="0.3">
      <c r="C400" s="5">
        <v>-6.3989260543684923E-2</v>
      </c>
      <c r="D400" s="5">
        <v>7.9980842911877348E-2</v>
      </c>
      <c r="E400" s="5">
        <v>5.3671922236175229E-2</v>
      </c>
      <c r="F400" s="5">
        <v>3.4920634920634797E-2</v>
      </c>
      <c r="H400" s="5">
        <f t="shared" si="15"/>
        <v>-1.380010788802837E-2</v>
      </c>
    </row>
    <row r="401" spans="2:8" x14ac:dyDescent="0.3">
      <c r="C401" s="5">
        <v>-2.8923150472093262E-3</v>
      </c>
      <c r="D401" s="5">
        <v>5.0744377573646027E-2</v>
      </c>
      <c r="E401" s="5">
        <v>2.0922533657029341E-2</v>
      </c>
      <c r="F401" s="5">
        <v>-0.1165644171779141</v>
      </c>
      <c r="H401" s="5">
        <f t="shared" si="15"/>
        <v>-4.6499722545349294E-2</v>
      </c>
    </row>
    <row r="402" spans="2:8" x14ac:dyDescent="0.3">
      <c r="C402" s="5">
        <v>3.1548161288776022E-2</v>
      </c>
      <c r="D402" s="5">
        <v>-2.2910888701314414E-2</v>
      </c>
      <c r="E402" s="5">
        <v>5.0888494963033493E-2</v>
      </c>
      <c r="F402" s="5">
        <v>1.736111111111116E-2</v>
      </c>
      <c r="H402" s="5">
        <f t="shared" si="15"/>
        <v>2.7941329225324343E-2</v>
      </c>
    </row>
    <row r="403" spans="2:8" x14ac:dyDescent="0.3">
      <c r="C403" s="5">
        <v>-5.5658842667906105E-2</v>
      </c>
      <c r="D403" s="5">
        <v>-1.3575219054671073E-2</v>
      </c>
      <c r="E403" s="5">
        <v>4.2993499547436809E-2</v>
      </c>
      <c r="F403" s="5">
        <v>-0.1023890784982936</v>
      </c>
      <c r="H403" s="5">
        <f t="shared" si="15"/>
        <v>-6.524892286230774E-2</v>
      </c>
    </row>
    <row r="404" spans="2:8" x14ac:dyDescent="0.3">
      <c r="C404" s="5">
        <v>4.2106558385627935E-2</v>
      </c>
      <c r="D404" s="5">
        <v>-3.0339046665832758E-2</v>
      </c>
      <c r="E404" s="5">
        <v>-3.1241371149066999E-2</v>
      </c>
      <c r="F404" s="5">
        <v>-7.6045627376425395E-3</v>
      </c>
      <c r="H404" s="5">
        <f t="shared" si="15"/>
        <v>1.5534187667012565E-2</v>
      </c>
    </row>
    <row r="405" spans="2:8" x14ac:dyDescent="0.3">
      <c r="C405" s="5">
        <v>-4.6285363434562798E-3</v>
      </c>
      <c r="D405" s="5">
        <v>-6.7027933681697904E-2</v>
      </c>
      <c r="E405" s="5">
        <v>-1.4088521519605934E-2</v>
      </c>
      <c r="F405" s="5">
        <v>7.6628352490422103E-3</v>
      </c>
      <c r="H405" s="5">
        <f t="shared" si="15"/>
        <v>-3.044516903695847E-4</v>
      </c>
    </row>
    <row r="406" spans="2:8" x14ac:dyDescent="0.3">
      <c r="C406" s="5">
        <v>-1.5278766310794722E-2</v>
      </c>
      <c r="D406" s="5">
        <v>5.2067487207855034E-2</v>
      </c>
      <c r="E406" s="5">
        <v>6.7856110353942123E-2</v>
      </c>
      <c r="F406" s="5">
        <v>-1.1406844106463754E-2</v>
      </c>
      <c r="H406" s="5">
        <f t="shared" si="15"/>
        <v>-6.1503505265678542E-3</v>
      </c>
    </row>
    <row r="407" spans="2:8" x14ac:dyDescent="0.3">
      <c r="C407" s="5">
        <v>-4.353587433142192E-2</v>
      </c>
      <c r="D407" s="5">
        <v>8.4587578047979006E-2</v>
      </c>
      <c r="E407" s="5">
        <v>1.8216274752475226E-2</v>
      </c>
      <c r="F407" s="5">
        <v>-0.33653846153846156</v>
      </c>
      <c r="H407" s="5">
        <f t="shared" si="15"/>
        <v>-0.15585718824745237</v>
      </c>
    </row>
    <row r="408" spans="2:8" ht="15" thickBot="1" x14ac:dyDescent="0.35">
      <c r="C408" s="30">
        <v>-5.4409430968034522E-2</v>
      </c>
      <c r="D408" s="30">
        <v>4.9690946551932402E-3</v>
      </c>
      <c r="E408" s="30">
        <v>9.4465757587267829E-2</v>
      </c>
      <c r="F408" s="30">
        <v>-1.1594202898550732E-2</v>
      </c>
      <c r="G408" s="48"/>
      <c r="H408" s="30">
        <f t="shared" si="15"/>
        <v>-2.3379475106974371E-2</v>
      </c>
    </row>
    <row r="409" spans="2:8" x14ac:dyDescent="0.3">
      <c r="B409" s="5" t="s">
        <v>70</v>
      </c>
      <c r="C409" s="5">
        <f>AVERAGE(C385:C408)</f>
        <v>1.2387728138687442E-2</v>
      </c>
      <c r="D409" s="5">
        <f t="shared" ref="D409:F409" si="16">AVERAGE(D385:D408)</f>
        <v>3.8702044722505186E-3</v>
      </c>
      <c r="E409" s="5">
        <f t="shared" si="16"/>
        <v>1.9699692369646856E-2</v>
      </c>
      <c r="F409" s="5">
        <f t="shared" si="16"/>
        <v>-1.9223404399635352E-2</v>
      </c>
      <c r="G409" s="12"/>
      <c r="H409" s="5">
        <f>AVERAGE(H385:H408)</f>
        <v>4.34745588646741E-4</v>
      </c>
    </row>
    <row r="410" spans="2:8" x14ac:dyDescent="0.3">
      <c r="B410" s="5" t="s">
        <v>71</v>
      </c>
      <c r="C410" s="5">
        <f>STDEV(C385:C408)</f>
        <v>5.3001075274527555E-2</v>
      </c>
      <c r="D410" s="5">
        <f t="shared" ref="D410:F410" si="17">STDEV(D385:D408)</f>
        <v>4.6866338931247864E-2</v>
      </c>
      <c r="E410" s="5">
        <f t="shared" si="17"/>
        <v>3.7482618031128942E-2</v>
      </c>
      <c r="F410" s="5">
        <f t="shared" si="17"/>
        <v>8.9230727055610956E-2</v>
      </c>
      <c r="G410" s="5"/>
      <c r="H410" s="5">
        <f>STDEV(H385:H408)</f>
        <v>5.0915884925546114E-2</v>
      </c>
    </row>
    <row r="411" spans="2:8" x14ac:dyDescent="0.3">
      <c r="B411" s="14" t="s">
        <v>72</v>
      </c>
      <c r="C411" s="46">
        <f>C409*12</f>
        <v>0.1486527376642493</v>
      </c>
      <c r="D411" s="46">
        <f t="shared" ref="D411:F411" si="18">D409*12</f>
        <v>4.6442453667006223E-2</v>
      </c>
      <c r="E411" s="46">
        <f t="shared" si="18"/>
        <v>0.23639630843576226</v>
      </c>
      <c r="F411" s="46">
        <f t="shared" si="18"/>
        <v>-0.23068085279562422</v>
      </c>
      <c r="G411" s="14"/>
      <c r="H411" s="46">
        <f>H409*12</f>
        <v>5.216947063760892E-3</v>
      </c>
    </row>
    <row r="412" spans="2:8" x14ac:dyDescent="0.3">
      <c r="B412" s="15" t="s">
        <v>73</v>
      </c>
      <c r="C412" s="47">
        <f>C410*SQRT(12)</f>
        <v>0.18360111046252861</v>
      </c>
      <c r="D412" s="47">
        <f t="shared" ref="D412:F412" si="19">D410*SQRT(12)</f>
        <v>0.16234976038732915</v>
      </c>
      <c r="E412" s="47">
        <f t="shared" si="19"/>
        <v>0.12984359766122527</v>
      </c>
      <c r="F412" s="47">
        <f t="shared" si="19"/>
        <v>0.30910430571325803</v>
      </c>
      <c r="G412" s="15"/>
      <c r="H412" s="47">
        <f>H410*SQRT(12)</f>
        <v>0.17637779920675234</v>
      </c>
    </row>
    <row r="415" spans="2:8" x14ac:dyDescent="0.3">
      <c r="C415" s="41" t="s">
        <v>74</v>
      </c>
      <c r="D415" s="37"/>
      <c r="E415" s="37"/>
      <c r="F415" s="38"/>
    </row>
    <row r="416" spans="2:8" x14ac:dyDescent="0.3">
      <c r="C416" s="42" t="s">
        <v>1</v>
      </c>
      <c r="D416" s="42" t="s">
        <v>2</v>
      </c>
      <c r="E416" s="42" t="s">
        <v>3</v>
      </c>
      <c r="F416" s="42" t="s">
        <v>4</v>
      </c>
    </row>
    <row r="417" spans="2:11" x14ac:dyDescent="0.3">
      <c r="C417" s="5">
        <v>0.50845245997574651</v>
      </c>
      <c r="D417" s="5">
        <v>-4.6275064015361394E-3</v>
      </c>
      <c r="E417" s="5">
        <v>9.4860327566629418E-2</v>
      </c>
      <c r="F417" s="5">
        <f>1-C417-D417-E417</f>
        <v>0.4013147188591602</v>
      </c>
    </row>
    <row r="419" spans="2:11" x14ac:dyDescent="0.3">
      <c r="C419" t="s">
        <v>106</v>
      </c>
    </row>
    <row r="420" spans="2:11" x14ac:dyDescent="0.3">
      <c r="C420" s="6"/>
      <c r="D420" s="6" t="s">
        <v>1</v>
      </c>
      <c r="E420" s="6" t="s">
        <v>2</v>
      </c>
      <c r="F420" s="6" t="s">
        <v>3</v>
      </c>
      <c r="G420" s="6" t="s">
        <v>4</v>
      </c>
      <c r="I420" s="6" t="s">
        <v>91</v>
      </c>
      <c r="J420" s="41" t="s">
        <v>92</v>
      </c>
      <c r="K420" s="43"/>
    </row>
    <row r="421" spans="2:11" x14ac:dyDescent="0.3">
      <c r="C421" s="6" t="s">
        <v>83</v>
      </c>
      <c r="D421" s="5">
        <v>0.9958467712728164</v>
      </c>
      <c r="E421" s="5">
        <v>0.27724290418184788</v>
      </c>
      <c r="F421" s="5">
        <v>0.33021542891541456</v>
      </c>
      <c r="G421" s="5">
        <v>1.1552475829064914</v>
      </c>
      <c r="I421" s="5">
        <f>0.01</f>
        <v>0.01</v>
      </c>
      <c r="J421" s="19">
        <v>5.216947063760892E-3</v>
      </c>
      <c r="K421" s="9"/>
    </row>
    <row r="422" spans="2:11" x14ac:dyDescent="0.3">
      <c r="C422" s="44" t="s">
        <v>107</v>
      </c>
      <c r="D422" s="45">
        <f>$I$421+(D421*($J$421-$I$421))</f>
        <v>5.2368121766193203E-3</v>
      </c>
      <c r="E422" s="45">
        <f>$I$421+(E421*($J$421-$I$421))</f>
        <v>8.6739325131015548E-3</v>
      </c>
      <c r="F422" s="45">
        <f>$I$421+(F421*($J$421-$I$421))</f>
        <v>8.4205621231346704E-3</v>
      </c>
      <c r="G422" s="45">
        <f>$I$421+(G421*($J$421-$I$421))</f>
        <v>4.4743896564959735E-3</v>
      </c>
    </row>
    <row r="423" spans="2:11" x14ac:dyDescent="0.3">
      <c r="C423" s="5"/>
      <c r="D423" s="5"/>
      <c r="E423" s="5"/>
      <c r="F423" s="5"/>
      <c r="G423" s="5"/>
    </row>
    <row r="424" spans="2:11" x14ac:dyDescent="0.3">
      <c r="C424" s="19" t="s">
        <v>108</v>
      </c>
      <c r="D424" s="37"/>
      <c r="E424" s="37"/>
      <c r="F424" s="37"/>
      <c r="G424" s="38"/>
    </row>
    <row r="425" spans="2:11" x14ac:dyDescent="0.3">
      <c r="C425" t="s">
        <v>110</v>
      </c>
    </row>
    <row r="426" spans="2:11" x14ac:dyDescent="0.3">
      <c r="C426" t="s">
        <v>109</v>
      </c>
    </row>
    <row r="427" spans="2:11" x14ac:dyDescent="0.3">
      <c r="C427" t="s">
        <v>111</v>
      </c>
    </row>
    <row r="431" spans="2:11" x14ac:dyDescent="0.3">
      <c r="F431" t="s">
        <v>116</v>
      </c>
    </row>
    <row r="432" spans="2:11" x14ac:dyDescent="0.3">
      <c r="B432" s="6" t="s">
        <v>112</v>
      </c>
      <c r="C432" s="6" t="s">
        <v>83</v>
      </c>
      <c r="D432" s="6" t="s">
        <v>113</v>
      </c>
      <c r="E432" s="6" t="s">
        <v>114</v>
      </c>
      <c r="F432" s="6" t="s">
        <v>115</v>
      </c>
    </row>
    <row r="433" spans="2:6" x14ac:dyDescent="0.3">
      <c r="B433" s="6" t="s">
        <v>1</v>
      </c>
      <c r="C433" s="5">
        <v>0.9958467712728164</v>
      </c>
      <c r="D433" s="50">
        <v>0.1486527376642493</v>
      </c>
      <c r="E433" s="50">
        <v>5.2368121766193203E-3</v>
      </c>
      <c r="F433" s="40">
        <f>D433-E433</f>
        <v>0.14341592548762999</v>
      </c>
    </row>
    <row r="434" spans="2:6" x14ac:dyDescent="0.3">
      <c r="B434" s="6" t="s">
        <v>2</v>
      </c>
      <c r="C434" s="5">
        <v>0.27724290418184788</v>
      </c>
      <c r="D434" s="50">
        <v>4.6442453667006223E-2</v>
      </c>
      <c r="E434" s="50">
        <v>8.6739325131015548E-3</v>
      </c>
      <c r="F434" s="40">
        <f t="shared" ref="F434:F436" si="20">D434-E434</f>
        <v>3.7768521153904666E-2</v>
      </c>
    </row>
    <row r="435" spans="2:6" x14ac:dyDescent="0.3">
      <c r="B435" s="6" t="s">
        <v>3</v>
      </c>
      <c r="C435" s="5">
        <v>0.33021542891541456</v>
      </c>
      <c r="D435" s="50">
        <v>0.23639630843576226</v>
      </c>
      <c r="E435" s="50">
        <v>8.4205621231346704E-3</v>
      </c>
      <c r="F435" s="40">
        <f t="shared" si="20"/>
        <v>0.2279757463126276</v>
      </c>
    </row>
    <row r="436" spans="2:6" x14ac:dyDescent="0.3">
      <c r="B436" s="6" t="s">
        <v>4</v>
      </c>
      <c r="C436" s="5">
        <v>1.1552475829064914</v>
      </c>
      <c r="D436" s="50">
        <v>-0.23068085279562422</v>
      </c>
      <c r="E436" s="50">
        <v>4.4743896564959735E-3</v>
      </c>
      <c r="F436" s="40">
        <f t="shared" si="20"/>
        <v>-0.23515524245212019</v>
      </c>
    </row>
    <row r="456" spans="3:57" x14ac:dyDescent="0.3">
      <c r="C456" t="s">
        <v>118</v>
      </c>
    </row>
    <row r="458" spans="3:57" x14ac:dyDescent="0.3">
      <c r="G458" s="10" t="s">
        <v>18</v>
      </c>
      <c r="H458" s="5" t="s">
        <v>20</v>
      </c>
      <c r="I458" s="5" t="s">
        <v>21</v>
      </c>
      <c r="J458" s="5" t="s">
        <v>22</v>
      </c>
      <c r="K458" s="5" t="s">
        <v>23</v>
      </c>
      <c r="L458" s="5" t="s">
        <v>24</v>
      </c>
      <c r="M458" s="5" t="s">
        <v>25</v>
      </c>
      <c r="N458" s="5" t="s">
        <v>26</v>
      </c>
      <c r="O458" s="5" t="s">
        <v>27</v>
      </c>
      <c r="P458" s="5" t="s">
        <v>28</v>
      </c>
      <c r="Q458" s="5" t="s">
        <v>29</v>
      </c>
      <c r="R458" s="5" t="s">
        <v>30</v>
      </c>
      <c r="S458" s="5" t="s">
        <v>31</v>
      </c>
      <c r="T458" s="5" t="s">
        <v>32</v>
      </c>
      <c r="U458" s="5" t="s">
        <v>33</v>
      </c>
      <c r="V458" s="5" t="s">
        <v>34</v>
      </c>
      <c r="W458" s="5" t="s">
        <v>35</v>
      </c>
      <c r="X458" s="5" t="s">
        <v>36</v>
      </c>
      <c r="Y458" s="5" t="s">
        <v>37</v>
      </c>
      <c r="Z458" s="5" t="s">
        <v>38</v>
      </c>
      <c r="AA458" s="5" t="s">
        <v>39</v>
      </c>
      <c r="AB458" s="5" t="s">
        <v>40</v>
      </c>
      <c r="AC458" s="5" t="s">
        <v>41</v>
      </c>
      <c r="AD458" s="5" t="s">
        <v>42</v>
      </c>
      <c r="AE458" s="5" t="s">
        <v>43</v>
      </c>
      <c r="AF458" s="5" t="s">
        <v>44</v>
      </c>
      <c r="AG458" s="5" t="s">
        <v>45</v>
      </c>
      <c r="AH458" s="5" t="s">
        <v>46</v>
      </c>
      <c r="AI458" s="5" t="s">
        <v>47</v>
      </c>
      <c r="AJ458" s="5" t="s">
        <v>48</v>
      </c>
      <c r="AK458" s="5" t="s">
        <v>49</v>
      </c>
      <c r="AL458" s="5" t="s">
        <v>50</v>
      </c>
      <c r="AM458" s="5" t="s">
        <v>51</v>
      </c>
      <c r="AN458" s="5" t="s">
        <v>52</v>
      </c>
      <c r="AO458" s="5" t="s">
        <v>53</v>
      </c>
      <c r="AP458" s="5" t="s">
        <v>54</v>
      </c>
      <c r="AQ458" s="5" t="s">
        <v>55</v>
      </c>
      <c r="AR458" s="5" t="s">
        <v>56</v>
      </c>
      <c r="AS458" s="5" t="s">
        <v>57</v>
      </c>
      <c r="AT458" s="5" t="s">
        <v>58</v>
      </c>
      <c r="AU458" s="5" t="s">
        <v>59</v>
      </c>
      <c r="AV458" s="5" t="s">
        <v>60</v>
      </c>
      <c r="AW458" s="5" t="s">
        <v>61</v>
      </c>
      <c r="AX458" s="5" t="s">
        <v>62</v>
      </c>
      <c r="AY458" s="5" t="s">
        <v>63</v>
      </c>
      <c r="AZ458" s="5" t="s">
        <v>64</v>
      </c>
      <c r="BA458" s="5" t="s">
        <v>65</v>
      </c>
      <c r="BB458" s="5" t="s">
        <v>66</v>
      </c>
      <c r="BC458" s="5" t="s">
        <v>67</v>
      </c>
      <c r="BD458" s="5" t="s">
        <v>68</v>
      </c>
      <c r="BE458" s="5" t="s">
        <v>69</v>
      </c>
    </row>
    <row r="459" spans="3:57" x14ac:dyDescent="0.3">
      <c r="C459" t="s">
        <v>119</v>
      </c>
      <c r="G459" s="16" t="s">
        <v>1</v>
      </c>
      <c r="H459" s="20">
        <v>0.25</v>
      </c>
      <c r="I459" s="5">
        <v>0.113120964904142</v>
      </c>
      <c r="J459" s="5">
        <v>0.120823102837134</v>
      </c>
      <c r="K459" s="5">
        <v>0.20256397834468501</v>
      </c>
      <c r="L459" s="5">
        <v>0.52960818326224601</v>
      </c>
      <c r="M459" s="5">
        <v>0.52704168469596502</v>
      </c>
      <c r="N459" s="5">
        <v>0.26036026523227901</v>
      </c>
      <c r="O459" s="5">
        <v>2.7373109819893099E-3</v>
      </c>
      <c r="P459" s="5">
        <v>0.42364472100419298</v>
      </c>
      <c r="Q459" s="5">
        <v>0.166668966748062</v>
      </c>
      <c r="R459" s="5">
        <v>0.49222645472345999</v>
      </c>
      <c r="S459" s="5">
        <v>0.146870517091819</v>
      </c>
      <c r="T459" s="5">
        <v>0.28292838519476299</v>
      </c>
      <c r="U459" s="5">
        <v>0.60840439504746102</v>
      </c>
      <c r="V459" s="5">
        <v>0.17826695653784599</v>
      </c>
      <c r="W459" s="5">
        <v>0.24367299460625699</v>
      </c>
      <c r="X459" s="5">
        <v>0.14803129283955499</v>
      </c>
      <c r="Y459" s="5">
        <v>5.3367441914841003E-2</v>
      </c>
      <c r="Z459" s="5">
        <v>0.57116627078906701</v>
      </c>
      <c r="AA459" s="5">
        <v>0.25760481211921799</v>
      </c>
      <c r="AB459" s="5">
        <v>0.10078179794754601</v>
      </c>
      <c r="AC459" s="5">
        <v>0.12505384979835199</v>
      </c>
      <c r="AD459" s="5">
        <v>0.25949461776090299</v>
      </c>
      <c r="AE459" s="5">
        <v>0.39949183470284499</v>
      </c>
      <c r="AF459" s="5">
        <v>0.10622738034868701</v>
      </c>
      <c r="AG459" s="5">
        <v>0.60762667446206298</v>
      </c>
      <c r="AH459" s="5">
        <v>0.52947865547045403</v>
      </c>
      <c r="AI459" s="5">
        <v>0.69354208983522303</v>
      </c>
      <c r="AJ459" s="5">
        <v>0.14105242145021901</v>
      </c>
      <c r="AK459" s="5">
        <v>0.52311984059743399</v>
      </c>
      <c r="AL459" s="5">
        <v>0.70304579538669199</v>
      </c>
      <c r="AM459" s="5">
        <v>0.208946930327605</v>
      </c>
      <c r="AN459" s="5">
        <v>0.14434053931010701</v>
      </c>
      <c r="AO459" s="5">
        <v>0.14474676186042201</v>
      </c>
      <c r="AP459" s="5">
        <v>0.17763119038005501</v>
      </c>
      <c r="AQ459" s="5">
        <v>0.259710602547011</v>
      </c>
      <c r="AR459" s="5">
        <v>0.25347361161127102</v>
      </c>
      <c r="AS459" s="5">
        <v>0.46226031826508801</v>
      </c>
      <c r="AT459" s="5">
        <v>4.3120220318264298E-2</v>
      </c>
      <c r="AU459" s="5">
        <v>0.13549052447986801</v>
      </c>
      <c r="AV459" s="5">
        <v>0.240317524170198</v>
      </c>
      <c r="AW459" s="5">
        <v>2.5932320723910201E-2</v>
      </c>
      <c r="AX459" s="5">
        <v>6.4465706502266004E-2</v>
      </c>
      <c r="AY459" s="5">
        <v>0.112576213349054</v>
      </c>
      <c r="AZ459" s="5">
        <v>0.54602574882436805</v>
      </c>
      <c r="BA459" s="5">
        <v>0.25797006927959498</v>
      </c>
      <c r="BB459" s="5">
        <v>6.4564039926420499E-2</v>
      </c>
      <c r="BC459" s="5">
        <v>0.21201273943570301</v>
      </c>
      <c r="BD459" s="5">
        <v>2.13283682838722E-2</v>
      </c>
      <c r="BE459" s="5">
        <v>0.131913268447094</v>
      </c>
    </row>
    <row r="460" spans="3:57" x14ac:dyDescent="0.3">
      <c r="G460" s="16" t="s">
        <v>2</v>
      </c>
      <c r="H460" s="20">
        <v>0.25</v>
      </c>
      <c r="I460" s="5">
        <v>0.38736237350813901</v>
      </c>
      <c r="J460" s="5">
        <v>0.56630291019993095</v>
      </c>
      <c r="K460" s="5">
        <v>8.0907057565147197E-2</v>
      </c>
      <c r="L460" s="5">
        <v>0.24012695346614801</v>
      </c>
      <c r="M460" s="5">
        <v>0.165045786013371</v>
      </c>
      <c r="N460" s="5">
        <v>0.29847454474624902</v>
      </c>
      <c r="O460" s="5">
        <v>0.27938266220618402</v>
      </c>
      <c r="P460" s="5">
        <v>8.6945221529316205E-2</v>
      </c>
      <c r="Q460" s="5">
        <v>0.40499235477269402</v>
      </c>
      <c r="R460" s="5">
        <v>0.180225701766033</v>
      </c>
      <c r="S460" s="5">
        <v>6.8283728137833594E-2</v>
      </c>
      <c r="T460" s="5">
        <v>0.36006211389308002</v>
      </c>
      <c r="U460" s="5">
        <v>0.256162377593046</v>
      </c>
      <c r="V460" s="5">
        <v>0.27222758978686801</v>
      </c>
      <c r="W460" s="5">
        <v>0.41157368422319801</v>
      </c>
      <c r="X460" s="5">
        <v>0.15018758319842801</v>
      </c>
      <c r="Y460" s="5">
        <v>0.53358756634960602</v>
      </c>
      <c r="Z460" s="5">
        <v>8.0544683091254399E-2</v>
      </c>
      <c r="AA460" s="5">
        <v>0.16013417731433999</v>
      </c>
      <c r="AB460" s="5">
        <v>0.216389919589525</v>
      </c>
      <c r="AC460" s="5">
        <v>0.110533473277464</v>
      </c>
      <c r="AD460" s="5">
        <v>9.3600345682126898E-2</v>
      </c>
      <c r="AE460" s="5">
        <v>0.15944314926810199</v>
      </c>
      <c r="AF460" s="5">
        <v>1.3096915302425601E-2</v>
      </c>
      <c r="AG460" s="5">
        <v>0.128600104871049</v>
      </c>
      <c r="AH460" s="5">
        <v>0.226701365749231</v>
      </c>
      <c r="AI460" s="5">
        <v>0.142379778141564</v>
      </c>
      <c r="AJ460" s="5">
        <v>0.35272525615425998</v>
      </c>
      <c r="AK460" s="5">
        <v>0.187269943364854</v>
      </c>
      <c r="AL460" s="5">
        <v>0.15515366522166699</v>
      </c>
      <c r="AM460" s="5">
        <v>2.9509729383352001E-2</v>
      </c>
      <c r="AN460" s="5">
        <v>0.184880492882638</v>
      </c>
      <c r="AO460" s="5">
        <v>0.29687297477073099</v>
      </c>
      <c r="AP460" s="5">
        <v>0.165987969691376</v>
      </c>
      <c r="AQ460" s="5">
        <v>4.0110529808662899E-2</v>
      </c>
      <c r="AR460" s="5">
        <v>8.2638121715844698E-2</v>
      </c>
      <c r="AS460" s="5">
        <v>7.6051148992755599E-2</v>
      </c>
      <c r="AT460" s="5">
        <v>0.290157319934505</v>
      </c>
      <c r="AU460" s="5">
        <v>0.49340947134886198</v>
      </c>
      <c r="AV460" s="5">
        <v>0.39842173766279299</v>
      </c>
      <c r="AW460" s="5">
        <v>0.68696219082995102</v>
      </c>
      <c r="AX460" s="5">
        <v>0.430665323099715</v>
      </c>
      <c r="AY460" s="5">
        <v>0.535036988406284</v>
      </c>
      <c r="AZ460" s="5">
        <v>0.122995602899013</v>
      </c>
      <c r="BA460" s="5">
        <v>3.9249414958153199E-2</v>
      </c>
      <c r="BB460" s="5">
        <v>0.45312568657249103</v>
      </c>
      <c r="BC460" s="5">
        <v>8.4254799003119593E-2</v>
      </c>
      <c r="BD460" s="5">
        <v>8.0209509615485397E-2</v>
      </c>
      <c r="BE460" s="5">
        <v>0.17305266005991701</v>
      </c>
    </row>
    <row r="461" spans="3:57" x14ac:dyDescent="0.3">
      <c r="G461" s="16" t="s">
        <v>3</v>
      </c>
      <c r="H461" s="20">
        <v>0.25</v>
      </c>
      <c r="I461" s="5">
        <v>0.237485352462323</v>
      </c>
      <c r="J461" s="5">
        <v>0.222554203597047</v>
      </c>
      <c r="K461" s="5">
        <v>0.37776782594504499</v>
      </c>
      <c r="L461" s="5">
        <v>9.4904526606022596E-2</v>
      </c>
      <c r="M461" s="5">
        <v>1.6869200133222399E-2</v>
      </c>
      <c r="N461" s="5">
        <v>8.6125584406953101E-2</v>
      </c>
      <c r="O461" s="5">
        <v>0.53117839882899898</v>
      </c>
      <c r="P461" s="5">
        <v>0.42856564784263002</v>
      </c>
      <c r="Q461" s="5">
        <v>0.33622667679532903</v>
      </c>
      <c r="R461" s="5">
        <v>8.5970523897466594E-2</v>
      </c>
      <c r="S461" s="5">
        <v>0.154716727390698</v>
      </c>
      <c r="T461" s="5">
        <v>0.239399735114767</v>
      </c>
      <c r="U461" s="5">
        <v>0.119081285325936</v>
      </c>
      <c r="V461" s="5">
        <v>0.17995191921667</v>
      </c>
      <c r="W461" s="5">
        <v>0.32078526378503402</v>
      </c>
      <c r="X461" s="5">
        <v>0.62375577150231498</v>
      </c>
      <c r="Y461" s="5">
        <v>0.22864006249233801</v>
      </c>
      <c r="Z461" s="5">
        <v>0.178303863952818</v>
      </c>
      <c r="AA461" s="5">
        <v>4.9236593142923703E-2</v>
      </c>
      <c r="AB461" s="5">
        <v>0.18368038958103899</v>
      </c>
      <c r="AC461" s="5">
        <v>0.448902754689605</v>
      </c>
      <c r="AD461" s="5">
        <v>2.84230276858649E-2</v>
      </c>
      <c r="AE461" s="5">
        <v>0.145472764425854</v>
      </c>
      <c r="AF461" s="5">
        <v>0.60811154076844698</v>
      </c>
      <c r="AG461" s="5">
        <v>4.2566284023266503E-2</v>
      </c>
      <c r="AH461" s="5">
        <v>0.19991688521933701</v>
      </c>
      <c r="AI461" s="5">
        <v>6.5641282745708102E-2</v>
      </c>
      <c r="AJ461" s="5">
        <v>0.29582055598642099</v>
      </c>
      <c r="AK461" s="5">
        <v>0.12320649142015801</v>
      </c>
      <c r="AL461" s="5">
        <v>9.3657360204928902E-2</v>
      </c>
      <c r="AM461" s="5">
        <v>0.43106681126489599</v>
      </c>
      <c r="AN461" s="5">
        <v>0.23917571790425701</v>
      </c>
      <c r="AO461" s="5">
        <v>6.85668311144845E-2</v>
      </c>
      <c r="AP461" s="5">
        <v>0.60267439982087001</v>
      </c>
      <c r="AQ461" s="5">
        <v>0.32697164309653698</v>
      </c>
      <c r="AR461" s="5">
        <v>0.63754520980929197</v>
      </c>
      <c r="AS461" s="5">
        <v>4.0985400109451002E-2</v>
      </c>
      <c r="AT461" s="5">
        <v>0.29843733215742302</v>
      </c>
      <c r="AU461" s="5">
        <v>6.0437278903745797E-2</v>
      </c>
      <c r="AV461" s="5">
        <v>2.6633378279337001E-2</v>
      </c>
      <c r="AW461" s="5">
        <v>0.24757556647812201</v>
      </c>
      <c r="AX461" s="5">
        <v>4.6919103056532897E-3</v>
      </c>
      <c r="AY461" s="5">
        <v>4.43458531563529E-2</v>
      </c>
      <c r="AZ461" s="5">
        <v>0.121226317188249</v>
      </c>
      <c r="BA461" s="5">
        <v>0.17720422749784301</v>
      </c>
      <c r="BB461" s="5">
        <v>0.44405345409039199</v>
      </c>
      <c r="BC461" s="5">
        <v>0.12719193184585101</v>
      </c>
      <c r="BD461" s="5">
        <v>0.68489029755342301</v>
      </c>
      <c r="BE461" s="5">
        <v>0.27110479591558501</v>
      </c>
    </row>
    <row r="462" spans="3:57" ht="15" thickBot="1" x14ac:dyDescent="0.35">
      <c r="D462" s="27" t="s">
        <v>1</v>
      </c>
      <c r="E462" s="27" t="s">
        <v>2</v>
      </c>
      <c r="F462" s="28" t="s">
        <v>3</v>
      </c>
      <c r="G462" s="28" t="s">
        <v>4</v>
      </c>
      <c r="H462" s="29">
        <v>0.25</v>
      </c>
      <c r="I462" s="30">
        <v>0.26203130912539402</v>
      </c>
      <c r="J462" s="30">
        <v>9.0319783365885906E-2</v>
      </c>
      <c r="K462" s="30">
        <v>0.33876113814512199</v>
      </c>
      <c r="L462" s="30">
        <v>0.135360336665582</v>
      </c>
      <c r="M462" s="30">
        <v>0.29104332915744002</v>
      </c>
      <c r="N462" s="30">
        <v>0.35503960561451697</v>
      </c>
      <c r="O462" s="30">
        <v>0.186701627982827</v>
      </c>
      <c r="P462" s="30">
        <v>6.0844409623859799E-2</v>
      </c>
      <c r="Q462" s="30">
        <v>9.2112001683913994E-2</v>
      </c>
      <c r="R462" s="30">
        <v>0.24157731961303899</v>
      </c>
      <c r="S462" s="30">
        <v>0.63012902737964704</v>
      </c>
      <c r="T462" s="30">
        <v>0.11760976579738799</v>
      </c>
      <c r="U462" s="30">
        <v>1.6351942033555601E-2</v>
      </c>
      <c r="V462" s="30">
        <v>0.369553534458614</v>
      </c>
      <c r="W462" s="30">
        <v>2.3968057385509299E-2</v>
      </c>
      <c r="X462" s="30">
        <v>7.8025352459699701E-2</v>
      </c>
      <c r="Y462" s="30">
        <v>0.184404929243214</v>
      </c>
      <c r="Z462" s="30">
        <v>0.16998518216685901</v>
      </c>
      <c r="AA462" s="30">
        <v>0.53302441742351703</v>
      </c>
      <c r="AB462" s="30">
        <v>0.49914789288188799</v>
      </c>
      <c r="AC462" s="30">
        <v>0.31550992223457702</v>
      </c>
      <c r="AD462" s="30">
        <v>0.61848200887110405</v>
      </c>
      <c r="AE462" s="30">
        <v>0.29559225160319702</v>
      </c>
      <c r="AF462" s="30">
        <v>0.272564163580439</v>
      </c>
      <c r="AG462" s="30">
        <v>0.22120693664362001</v>
      </c>
      <c r="AH462" s="30">
        <v>4.3903093560976603E-2</v>
      </c>
      <c r="AI462" s="30">
        <v>9.8436849277503194E-2</v>
      </c>
      <c r="AJ462" s="30">
        <v>0.210401766409098</v>
      </c>
      <c r="AK462" s="30">
        <v>0.16640372461755201</v>
      </c>
      <c r="AL462" s="30">
        <v>4.8143179186711398E-2</v>
      </c>
      <c r="AM462" s="30">
        <v>0.33047652902414498</v>
      </c>
      <c r="AN462" s="30">
        <v>0.43160324990299698</v>
      </c>
      <c r="AO462" s="30">
        <v>0.48981343225436103</v>
      </c>
      <c r="AP462" s="30">
        <v>5.37064401076972E-2</v>
      </c>
      <c r="AQ462" s="30">
        <v>0.37320722454778799</v>
      </c>
      <c r="AR462" s="30">
        <v>2.63430568635908E-2</v>
      </c>
      <c r="AS462" s="30">
        <v>0.42070313263270498</v>
      </c>
      <c r="AT462" s="30">
        <v>0.36828512758980603</v>
      </c>
      <c r="AU462" s="30">
        <v>0.31066272526752298</v>
      </c>
      <c r="AV462" s="30">
        <v>0.33462735988767001</v>
      </c>
      <c r="AW462" s="30">
        <v>3.9529921968016198E-2</v>
      </c>
      <c r="AX462" s="30">
        <v>0.50017706009236496</v>
      </c>
      <c r="AY462" s="30">
        <v>0.30804094508830798</v>
      </c>
      <c r="AZ462" s="30">
        <v>0.20975233108836699</v>
      </c>
      <c r="BA462" s="30">
        <v>0.52557628826440705</v>
      </c>
      <c r="BB462" s="30">
        <v>3.8256819410695302E-2</v>
      </c>
      <c r="BC462" s="30">
        <v>0.57654052971532499</v>
      </c>
      <c r="BD462" s="30">
        <v>0.21357182454721799</v>
      </c>
      <c r="BE462" s="30">
        <v>0.42392927557740201</v>
      </c>
    </row>
    <row r="463" spans="3:57" x14ac:dyDescent="0.3">
      <c r="D463" s="5">
        <v>6.5764828303850109E-2</v>
      </c>
      <c r="E463" s="5">
        <v>5.6129032258064537E-2</v>
      </c>
      <c r="F463" s="5">
        <v>8.6235127169522752E-3</v>
      </c>
      <c r="G463" s="5">
        <v>2.3102310231023271E-2</v>
      </c>
      <c r="H463" s="25" cm="1">
        <f t="array" ref="H463">MMULT($D463:$G463,H$459:H$462)</f>
        <v>3.8404920877472548E-2</v>
      </c>
      <c r="I463" s="25" cm="1">
        <f t="array" ref="I463">MMULT($D463:$G463,I$459:I$462)</f>
        <v>3.7283142543390276E-2</v>
      </c>
      <c r="J463" s="25" cm="1">
        <f t="array" ref="J463">MMULT($D463:$G463,J$459:J$462)</f>
        <v>4.3737739587918129E-2</v>
      </c>
      <c r="K463" s="25" cm="1">
        <f t="array" ref="K463">MMULT($D463:$G463,K$459:K$462)</f>
        <v>2.8946670659097902E-2</v>
      </c>
      <c r="L463" s="25" cm="1">
        <f t="array" ref="L463">MMULT($D463:$G463,L$459:L$462)</f>
        <v>5.2253231640395179E-2</v>
      </c>
      <c r="M463" s="25" cm="1">
        <f t="array" ref="M463">MMULT($D463:$G463,M$459:M$462)</f>
        <v>5.0793911192942819E-2</v>
      </c>
      <c r="N463" s="25" cm="1">
        <f t="array" ref="N463">MMULT($D463:$G463,N$459:N$462)</f>
        <v>4.2820575676014071E-2</v>
      </c>
      <c r="O463" s="25" cm="1">
        <f t="array" ref="O463">MMULT($D463:$G463,O$459:O$462)</f>
        <v>2.4755359853628207E-2</v>
      </c>
      <c r="P463" s="25" cm="1">
        <f t="array" ref="P463">MMULT($D463:$G463,P$459:P$462)</f>
        <v>3.784246122375047E-2</v>
      </c>
      <c r="Q463" s="25" cm="1">
        <f t="array" ref="Q463">MMULT($D463:$G463,Q$459:Q$462)</f>
        <v>3.8720239989097904E-2</v>
      </c>
      <c r="R463" s="25" cm="1">
        <f t="array" ref="R463">MMULT($D463:$G463,R$459:R$462)</f>
        <v>4.8809444598251525E-2</v>
      </c>
      <c r="S463" s="25" cm="1">
        <f t="array" ref="S463">MMULT($D463:$G463,S$459:S$462)</f>
        <v>2.9383251861067015E-2</v>
      </c>
      <c r="T463" s="25" cm="1">
        <f t="array" ref="T463">MMULT($D463:$G463,T$459:T$462)</f>
        <v>4.3598198636077196E-2</v>
      </c>
      <c r="U463" s="25" cm="1">
        <f t="array" ref="U463">MMULT($D463:$G463,U$459:U$462)</f>
        <v>5.5794423550924802E-2</v>
      </c>
      <c r="V463" s="25" cm="1">
        <f t="array" ref="V463">MMULT($D463:$G463,V$459:V$462)</f>
        <v>3.7092925021482599E-2</v>
      </c>
      <c r="W463" s="25" cm="1">
        <f t="array" ref="W463">MMULT($D463:$G463,W$459:W$462)</f>
        <v>4.244635854991597E-2</v>
      </c>
      <c r="X463" s="25" cm="1">
        <f t="array" ref="X463">MMULT($D463:$G463,X$459:X$462)</f>
        <v>2.5346667985527115E-2</v>
      </c>
      <c r="Y463" s="25" cm="1">
        <f t="array" ref="Y463">MMULT($D463:$G463,Y$459:Y$462)</f>
        <v>3.969131474869847E-2</v>
      </c>
      <c r="Z463" s="25" cm="1">
        <f t="array" ref="Z463">MMULT($D463:$G463,Z$459:Z$462)</f>
        <v>4.7548202898212585E-2</v>
      </c>
      <c r="AA463" s="25" cm="1">
        <f t="array" ref="AA463">MMULT($D463:$G463,AA$459:AA$462)</f>
        <v>3.8668200482497098E-2</v>
      </c>
      <c r="AB463" s="25" cm="1">
        <f t="array" ref="AB463">MMULT($D463:$G463,AB$459:AB$462)</f>
        <v>3.1889094063059904E-2</v>
      </c>
      <c r="AC463" s="25" cm="1">
        <f t="array" ref="AC463">MMULT($D463:$G463,AC$459:AC$462)</f>
        <v>2.5588408566080714E-2</v>
      </c>
      <c r="AD463" s="25" cm="1">
        <f t="array" ref="AD463">MMULT($D463:$G463,AD$459:AD$462)</f>
        <v>3.685278538692717E-2</v>
      </c>
      <c r="AE463" s="25" cm="1">
        <f t="array" ref="AE463">MMULT($D463:$G463,AE$459:AE$462)</f>
        <v>4.3305251719039664E-2</v>
      </c>
      <c r="AF463" s="25" cm="1">
        <f t="array" ref="AF463">MMULT($D463:$G463,AF$459:AF$462)</f>
        <v>1.926206208132699E-2</v>
      </c>
      <c r="AG463" s="25" cm="1">
        <f t="array" ref="AG463">MMULT($D463:$G463,AG$459:AG$462)</f>
        <v>5.2656125520717849E-2</v>
      </c>
      <c r="AH463" s="25" cm="1">
        <f t="array" ref="AH463">MMULT($D463:$G463,AH$459:AH$462)</f>
        <v>5.0283849828223454E-2</v>
      </c>
      <c r="AI463" s="25" cm="1">
        <f t="array" ref="AI463">MMULT($D463:$G463,AI$459:AI$462)</f>
        <v>5.6442492686398782E-2</v>
      </c>
      <c r="AJ463" s="25" cm="1">
        <f t="array" ref="AJ463">MMULT($D463:$G463,AJ$459:AJ$462)</f>
        <v>3.6486194766655558E-2</v>
      </c>
      <c r="AK463" s="25" cm="1">
        <f t="array" ref="AK463">MMULT($D463:$G463,AK$459:AK$462)</f>
        <v>4.9820950406604753E-2</v>
      </c>
      <c r="AL463" s="25" cm="1">
        <f t="array" ref="AL463">MMULT($D463:$G463,AL$459:AL$462)</f>
        <v>5.6864185201375962E-2</v>
      </c>
      <c r="AM463" s="25" cm="1">
        <f t="array" ref="AM463">MMULT($D463:$G463,AM$459:AM$462)</f>
        <v>2.6749792976482854E-2</v>
      </c>
      <c r="AN463" s="25" cm="1">
        <f t="array" ref="AN463">MMULT($D463:$G463,AN$459:AN$462)</f>
        <v>3.1903260954821225E-2</v>
      </c>
      <c r="AO463" s="25" cm="1">
        <f t="array" ref="AO463">MMULT($D463:$G463,AO$459:AO$462)</f>
        <v>3.8089547526082297E-2</v>
      </c>
      <c r="AP463" s="25" cm="1">
        <f t="array" ref="AP463">MMULT($D463:$G463,AP$459:AP$462)</f>
        <v>2.7436542033819455E-2</v>
      </c>
      <c r="AQ463" s="25" cm="1">
        <f t="array" ref="AQ463">MMULT($D463:$G463,AQ$459:AQ$462)</f>
        <v>3.0772781611000062E-2</v>
      </c>
      <c r="AR463" s="25" cm="1">
        <f t="array" ref="AR463">MMULT($D463:$G463,AR$459:AR$462)</f>
        <v>2.7414511043225134E-2</v>
      </c>
      <c r="AS463" s="25" cm="1">
        <f t="array" ref="AS463">MMULT($D463:$G463,AS$459:AS$462)</f>
        <v>4.4741800261761187E-2</v>
      </c>
      <c r="AT463" s="25" cm="1">
        <f t="array" ref="AT463">MMULT($D463:$G463,AT$459:AT$462)</f>
        <v>3.0203858856296756E-2</v>
      </c>
      <c r="AU463" s="25" cm="1">
        <f t="array" ref="AU463">MMULT($D463:$G463,AU$459:AU$462)</f>
        <v>4.4303315512541873E-2</v>
      </c>
      <c r="AV463" s="25" cm="1">
        <f t="array" ref="AV463">MMULT($D463:$G463,AV$459:AV$462)</f>
        <v>4.6127805637248949E-2</v>
      </c>
      <c r="AW463" s="25" cm="1">
        <f t="array" ref="AW463">MMULT($D463:$G463,AW$459:AW$462)</f>
        <v>4.3312161155737341E-2</v>
      </c>
      <c r="AX463" s="25" cm="1">
        <f t="array" ref="AX463">MMULT($D463:$G463,AX$459:AX$462)</f>
        <v>4.0008110293184192E-2</v>
      </c>
      <c r="AY463" s="25" cm="1">
        <f t="array" ref="AY463">MMULT($D463:$G463,AY$459:AY$462)</f>
        <v>4.4933538229437756E-2</v>
      </c>
      <c r="AZ463" s="25" cm="1">
        <f t="array" ref="AZ463">MMULT($D463:$G463,AZ$459:AZ$462)</f>
        <v>4.8704073896020467E-2</v>
      </c>
      <c r="BA463" s="25" cm="1">
        <f t="array" ref="BA463">MMULT($D463:$G463,BA$459:BA$462)</f>
        <v>3.2838538362880622E-2</v>
      </c>
      <c r="BB463" s="25" cm="1">
        <f t="array" ref="BB463">MMULT($D463:$G463,BB$459:BB$462)</f>
        <v>3.4392670797782153E-2</v>
      </c>
      <c r="BC463" s="25" cm="1">
        <f t="array" ref="BC463">MMULT($D463:$G463,BC$459:BC$462)</f>
        <v>3.3088381158369116E-2</v>
      </c>
      <c r="BD463" s="25" cm="1">
        <f t="array" ref="BD463">MMULT($D463:$G463,BD$459:BD$462)</f>
        <v>1.6744901368765927E-2</v>
      </c>
      <c r="BE463" s="25" cm="1">
        <f t="array" ref="BE463">MMULT($D463:$G463,BE$459:BE$462)</f>
        <v>3.052015308487668E-2</v>
      </c>
    </row>
    <row r="464" spans="3:57" x14ac:dyDescent="0.3">
      <c r="D464" s="5">
        <v>6.8769120614463386E-2</v>
      </c>
      <c r="E464" s="5">
        <v>-5.277947464874766E-2</v>
      </c>
      <c r="F464" s="5">
        <v>-1.3419913419913554E-2</v>
      </c>
      <c r="G464" s="5">
        <v>2.2580645161290214E-2</v>
      </c>
      <c r="H464" s="25" cm="1">
        <f t="array" ref="H464">MMULT($D464:$G464,H$459:H$462)</f>
        <v>6.2875944267730965E-3</v>
      </c>
      <c r="I464" s="25" cm="1">
        <f t="array" ref="I464">MMULT($D464:$G464,I$459:I$462)</f>
        <v>-9.9357501489672848E-3</v>
      </c>
      <c r="J464" s="25" cm="1">
        <f t="array" ref="J464">MMULT($D464:$G464,J$459:J$462)</f>
        <v>-2.2527450724669214E-2</v>
      </c>
      <c r="K464" s="25" cm="1">
        <f t="array" ref="K464">MMULT($D464:$G464,K$459:K$462)</f>
        <v>1.2239748203145077E-2</v>
      </c>
      <c r="L464" s="25" cm="1">
        <f t="array" ref="L464">MMULT($D464:$G464,L$459:L$462)</f>
        <v>2.5529827781168239E-2</v>
      </c>
      <c r="M464" s="25" cm="1">
        <f t="array" ref="M464">MMULT($D464:$G464,M$459:M$462)</f>
        <v>3.3878726241945156E-2</v>
      </c>
      <c r="N464" s="25" cm="1">
        <f t="array" ref="N464">MMULT($D464:$G464,N$459:N$462)</f>
        <v>9.0126422818461848E-3</v>
      </c>
      <c r="O464" s="25" cm="1">
        <f t="array" ref="O464">MMULT($D464:$G464,O$459:O$462)</f>
        <v>-1.7469952578429249E-2</v>
      </c>
      <c r="P464" s="25" cm="1">
        <f t="array" ref="P464">MMULT($D464:$G464,P$459:P$462)</f>
        <v>2.0167343935849055E-2</v>
      </c>
      <c r="Q464" s="25" cm="1">
        <f t="array" ref="Q464">MMULT($D464:$G464,Q$459:Q$462)</f>
        <v>-1.2345789911614505E-2</v>
      </c>
      <c r="R464" s="25" cm="1">
        <f t="array" ref="R464">MMULT($D464:$G464,R$459:R$462)</f>
        <v>2.8639017322923246E-2</v>
      </c>
      <c r="S464" s="25" cm="1">
        <f t="array" ref="S464">MMULT($D464:$G464,S$459:S$462)</f>
        <v>1.864861189331634E-2</v>
      </c>
      <c r="T464" s="25" cm="1">
        <f t="array" ref="T464">MMULT($D464:$G464,T$459:T$462)</f>
        <v>-1.0417229449744469E-4</v>
      </c>
      <c r="U464" s="25" cm="1">
        <f t="array" ref="U464">MMULT($D464:$G464,U$459:U$462)</f>
        <v>2.7090496373005004E-2</v>
      </c>
      <c r="V464" s="25" cm="1">
        <f t="array" ref="V464">MMULT($D464:$G464,V$459:V$462)</f>
        <v>3.8210507159543656E-3</v>
      </c>
      <c r="W464" s="25" cm="1">
        <f t="array" ref="W464">MMULT($D464:$G464,W$459:W$462)</f>
        <v>-8.729161543336441E-3</v>
      </c>
      <c r="X464" s="25" cm="1">
        <f t="array" ref="X464">MMULT($D464:$G464,X$459:X$462)</f>
        <v>-4.3557255592351725E-3</v>
      </c>
      <c r="Y464" s="25" cm="1">
        <f t="array" ref="Y464">MMULT($D464:$G464,Y$459:Y$462)</f>
        <v>-2.3396786950845874E-2</v>
      </c>
      <c r="Z464" s="25" cm="1">
        <f t="array" ref="Z464">MMULT($D464:$G464,Z$459:Z$462)</f>
        <v>3.6473048772004586E-2</v>
      </c>
      <c r="AA464" s="25" cm="1">
        <f t="array" ref="AA464">MMULT($D464:$G464,AA$459:AA$462)</f>
        <v>2.0638743058606739E-2</v>
      </c>
      <c r="AB464" s="25" cm="1">
        <f t="array" ref="AB464">MMULT($D464:$G464,AB$459:AB$462)</f>
        <v>4.3158358706354653E-3</v>
      </c>
      <c r="AC464" s="25" cm="1">
        <f t="array" ref="AC464">MMULT($D464:$G464,AC$459:AC$462)</f>
        <v>3.8661261263499792E-3</v>
      </c>
      <c r="AD464" s="25" cm="1">
        <f t="array" ref="AD464">MMULT($D464:$G464,AD$459:AD$462)</f>
        <v>2.6489327805844013E-2</v>
      </c>
      <c r="AE464" s="25" cm="1">
        <f t="array" ref="AE464">MMULT($D464:$G464,AE$459:AE$462)</f>
        <v>2.3779808352789106E-2</v>
      </c>
      <c r="AF464" s="25" cm="1">
        <f t="array" ref="AF464">MMULT($D464:$G464,AF$459:AF$462)</f>
        <v>4.607785657307132E-3</v>
      </c>
      <c r="AG464" s="25" cm="1">
        <f t="array" ref="AG464">MMULT($D464:$G464,AG$459:AG$462)</f>
        <v>3.942226558714497E-2</v>
      </c>
      <c r="AH464" s="25" cm="1">
        <f t="array" ref="AH464">MMULT($D464:$G464,AH$459:AH$462)</f>
        <v>2.2755095420794586E-2</v>
      </c>
      <c r="AI464" s="25" cm="1">
        <f t="array" ref="AI464">MMULT($D464:$G464,AI$459:AI$462)</f>
        <v>4.1521416969279704E-2</v>
      </c>
      <c r="AJ464" s="25" cm="1">
        <f t="array" ref="AJ464">MMULT($D464:$G464,AJ$459:AJ$462)</f>
        <v>-8.1354813520705047E-3</v>
      </c>
      <c r="AK464" s="25" cm="1">
        <f t="array" ref="AK464">MMULT($D464:$G464,AK$459:AK$462)</f>
        <v>2.8194565197042235E-2</v>
      </c>
      <c r="AL464" s="25" cm="1">
        <f t="array" ref="AL464">MMULT($D464:$G464,AL$459:AL$462)</f>
        <v>3.9989142541275252E-2</v>
      </c>
      <c r="AM464" s="25" cm="1">
        <f t="array" ref="AM464">MMULT($D464:$G464,AM$459:AM$462)</f>
        <v>1.4489082590496839E-2</v>
      </c>
      <c r="AN464" s="25" cm="1">
        <f t="array" ref="AN464">MMULT($D464:$G464,AN$459:AN$462)</f>
        <v>6.7044390803247221E-3</v>
      </c>
      <c r="AO464" s="25" cm="1">
        <f t="array" ref="AO464">MMULT($D464:$G464,AO$459:AO$462)</f>
        <v>4.4254502510574422E-3</v>
      </c>
      <c r="AP464" s="25" cm="1">
        <f t="array" ref="AP464">MMULT($D464:$G464,AP$459:AP$462)</f>
        <v>-3.4203292812328085E-3</v>
      </c>
      <c r="AQ464" s="25" cm="1">
        <f t="array" ref="AQ464">MMULT($D464:$G464,AQ$459:AQ$462)</f>
        <v>1.9782385828247359E-2</v>
      </c>
      <c r="AR464" s="25" cm="1">
        <f t="array" ref="AR464">MMULT($D464:$G464,AR$459:AR$462)</f>
        <v>5.1086024219367098E-3</v>
      </c>
      <c r="AS464" s="25" cm="1">
        <f t="array" ref="AS464">MMULT($D464:$G464,AS$459:AS$462)</f>
        <v>3.6725023527053771E-2</v>
      </c>
      <c r="AT464" s="25" cm="1">
        <f t="array" ref="AT464">MMULT($D464:$G464,AT$459:AT$462)</f>
        <v>-8.0378986541795178E-3</v>
      </c>
      <c r="AU464" s="25" cm="1">
        <f t="array" ref="AU464">MMULT($D464:$G464,AU$459:AU$462)</f>
        <v>-1.0520426750554413E-2</v>
      </c>
      <c r="AV464" s="25" cm="1">
        <f t="array" ref="AV464">MMULT($D464:$G464,AV$459:AV$462)</f>
        <v>2.6966188472405186E-3</v>
      </c>
      <c r="AW464" s="25" cm="1">
        <f t="array" ref="AW464">MMULT($D464:$G464,AW$459:AW$462)</f>
        <v>-3.6903992169691209E-2</v>
      </c>
      <c r="AX464" s="25" cm="1">
        <f t="array" ref="AX464">MMULT($D464:$G464,AX$459:AX$462)</f>
        <v>-7.0656838749980407E-3</v>
      </c>
      <c r="AY464" s="25" cm="1">
        <f t="array" ref="AY464">MMULT($D464:$G464,AY$459:AY$462)</f>
        <v>-1.4136558205313995E-2</v>
      </c>
      <c r="AZ464" s="25" cm="1">
        <f t="array" ref="AZ464">MMULT($D464:$G464,AZ$459:AZ$462)</f>
        <v>3.416756355356837E-2</v>
      </c>
      <c r="BA464" s="25" cm="1">
        <f t="array" ref="BA464">MMULT($D464:$G464,BA$459:BA$462)</f>
        <v>2.5158597587270754E-2</v>
      </c>
      <c r="BB464" s="25" cm="1">
        <f t="array" ref="BB464">MMULT($D464:$G464,BB$459:BB$462)</f>
        <v>-2.4571018681686273E-2</v>
      </c>
      <c r="BC464" s="25" cm="1">
        <f t="array" ref="BC464">MMULT($D464:$G464,BC$459:BC$462)</f>
        <v>2.1444758031557362E-2</v>
      </c>
      <c r="BD464" s="25" cm="1">
        <f t="array" ref="BD464">MMULT($D464:$G464,BD$459:BD$462)</f>
        <v>-7.1352615570713981E-3</v>
      </c>
      <c r="BE464" s="25" cm="1">
        <f t="array" ref="BE464">MMULT($D464:$G464,BE$459:BE$462)</f>
        <v>5.8723246403412028E-3</v>
      </c>
    </row>
    <row r="465" spans="4:57" x14ac:dyDescent="0.3">
      <c r="D465" s="5">
        <v>3.6998690581321103E-2</v>
      </c>
      <c r="E465" s="5">
        <v>6.7457758287114755E-2</v>
      </c>
      <c r="F465" s="5">
        <v>-2.2213690215006521E-2</v>
      </c>
      <c r="G465" s="5">
        <v>-5.0473186119873836E-2</v>
      </c>
      <c r="H465" s="25" cm="1">
        <f t="array" ref="H465">MMULT($D465:$G465,H$459:H$462)</f>
        <v>7.9423931333888753E-3</v>
      </c>
      <c r="I465" s="25" cm="1">
        <f t="array" ref="I465">MMULT($D465:$G465,I$459:I$462)</f>
        <v>1.1814943855464053E-2</v>
      </c>
      <c r="J465" s="25" cm="1">
        <f t="array" ref="J465">MMULT($D465:$G465,J$459:J$462)</f>
        <v>3.3169344059617523E-2</v>
      </c>
      <c r="K465" s="25" cm="1">
        <f t="array" ref="K465">MMULT($D465:$G465,K$459:K$462)</f>
        <v>-1.2537560743870959E-2</v>
      </c>
      <c r="L465" s="25" cm="1">
        <f t="array" ref="L465">MMULT($D465:$G465,L$459:L$462)</f>
        <v>2.6852988067197374E-2</v>
      </c>
      <c r="M465" s="25" cm="1">
        <f t="array" ref="M465">MMULT($D465:$G465,M$459:M$462)</f>
        <v>1.5568859647275531E-2</v>
      </c>
      <c r="N465" s="25" cm="1">
        <f t="array" ref="N465">MMULT($D465:$G465,N$459:N$462)</f>
        <v>9.9342654416383E-3</v>
      </c>
      <c r="O465" s="25" cm="1">
        <f t="array" ref="O465">MMULT($D465:$G465,O$459:O$462)</f>
        <v>-2.2750533997883699E-3</v>
      </c>
      <c r="P465" s="25" cm="1">
        <f t="array" ref="P465">MMULT($D465:$G465,P$459:P$462)</f>
        <v>8.9483939377198209E-3</v>
      </c>
      <c r="Q465" s="25" cm="1">
        <f t="array" ref="Q465">MMULT($D465:$G465,Q$459:Q$462)</f>
        <v>2.1368388461386979E-2</v>
      </c>
      <c r="R465" s="25" cm="1">
        <f t="array" ref="R465">MMULT($D465:$G465,R$459:R$462)</f>
        <v>1.6266456520463338E-2</v>
      </c>
      <c r="S465" s="25" cm="1">
        <f t="array" ref="S465">MMULT($D465:$G465,S$459:S$462)</f>
        <v>-2.5201165086740702E-2</v>
      </c>
      <c r="T465" s="25" cm="1">
        <f t="array" ref="T465">MMULT($D465:$G465,T$459:T$462)</f>
        <v>2.3502871675840448E-2</v>
      </c>
      <c r="U465" s="25" cm="1">
        <f t="array" ref="U465">MMULT($D465:$G465,U$459:U$462)</f>
        <v>3.6319736314284985E-2</v>
      </c>
      <c r="V465" s="25" cm="1">
        <f t="array" ref="V465">MMULT($D465:$G465,V$459:V$462)</f>
        <v>2.3095664036821284E-3</v>
      </c>
      <c r="W465" s="25" cm="1">
        <f t="array" ref="W465">MMULT($D465:$G465,W$459:W$462)</f>
        <v>2.8443851141516093E-2</v>
      </c>
      <c r="X465" s="25" cm="1">
        <f t="array" ref="X465">MMULT($D465:$G465,X$459:X$462)</f>
        <v>-2.1858239294928741E-3</v>
      </c>
      <c r="Y465" s="25" cm="1">
        <f t="array" ref="Y465">MMULT($D465:$G465,Y$459:Y$462)</f>
        <v>2.3582702712285915E-2</v>
      </c>
      <c r="Z465" s="25" cm="1">
        <f t="array" ref="Z465">MMULT($D465:$G465,Z$459:Z$462)</f>
        <v>1.402528735157875E-2</v>
      </c>
      <c r="AA465" s="25" cm="1">
        <f t="array" ref="AA465">MMULT($D465:$G465,AA$459:AA$462)</f>
        <v>-7.6638336917386925E-3</v>
      </c>
      <c r="AB465" s="25" cm="1">
        <f t="array" ref="AB465">MMULT($D465:$G465,AB$459:AB$462)</f>
        <v>-1.0947830321566439E-2</v>
      </c>
      <c r="AC465" s="25" cm="1">
        <f t="array" ref="AC465">MMULT($D465:$G465,AC$459:AC$462)</f>
        <v>-1.3813408739272021E-2</v>
      </c>
      <c r="AD465" s="25" cm="1">
        <f t="array" ref="AD465">MMULT($D465:$G465,AD$459:AD$462)</f>
        <v>-1.5933107312861912E-2</v>
      </c>
      <c r="AE465" s="25" cm="1">
        <f t="array" ref="AE465">MMULT($D465:$G465,AE$459:AE$462)</f>
        <v>7.3853825513615426E-3</v>
      </c>
      <c r="AF465" s="25" cm="1">
        <f t="array" ref="AF465">MMULT($D465:$G465,AF$459:AF$462)</f>
        <v>-2.2451820617240603E-2</v>
      </c>
      <c r="AG465" s="25" cm="1">
        <f t="array" ref="AG465">MMULT($D465:$G465,AG$459:AG$462)</f>
        <v>1.9045892976350433E-2</v>
      </c>
      <c r="AH465" s="25" cm="1">
        <f t="array" ref="AH465">MMULT($D465:$G465,AH$459:AH$462)</f>
        <v>2.8225962107682891E-2</v>
      </c>
      <c r="AI465" s="25" cm="1">
        <f t="array" ref="AI465">MMULT($D465:$G465,AI$459:AI$462)</f>
        <v>2.8838213310916669E-2</v>
      </c>
      <c r="AJ465" s="25" cm="1">
        <f t="array" ref="AJ465">MMULT($D465:$G465,AJ$459:AJ$462)</f>
        <v>1.182189626256749E-2</v>
      </c>
      <c r="AK465" s="25" cm="1">
        <f t="array" ref="AK465">MMULT($D465:$G465,AK$459:AK$462)</f>
        <v>2.0851762696615289E-2</v>
      </c>
      <c r="AL465" s="25" cm="1">
        <f t="array" ref="AL465">MMULT($D465:$G465,AL$459:AL$462)</f>
        <v>3.1967677064453241E-2</v>
      </c>
      <c r="AM465" s="25" cm="1">
        <f t="array" ref="AM465">MMULT($D465:$G465,AM$459:AM$462)</f>
        <v>-1.6534364950126397E-2</v>
      </c>
      <c r="AN465" s="25" cm="1">
        <f t="array" ref="AN465">MMULT($D465:$G465,AN$459:AN$462)</f>
        <v>-9.2853319136180432E-3</v>
      </c>
      <c r="AO465" s="25" cm="1">
        <f t="array" ref="AO465">MMULT($D465:$G465,AO$459:AO$462)</f>
        <v>-8.6374084680779575E-4</v>
      </c>
      <c r="AP465" s="25" cm="1">
        <f t="array" ref="AP465">MMULT($D465:$G465,AP$459:AP$462)</f>
        <v>1.6709402229457227E-3</v>
      </c>
      <c r="AQ465" s="25" cm="1">
        <f t="array" ref="AQ465">MMULT($D465:$G465,AQ$459:AQ$462)</f>
        <v>-1.3785485845793984E-2</v>
      </c>
      <c r="AR465" s="25" cm="1">
        <f t="array" ref="AR465">MMULT($D465:$G465,AR$459:AR$462)</f>
        <v>-5.3907563426339069E-4</v>
      </c>
      <c r="AS465" s="25" cm="1">
        <f t="array" ref="AS465">MMULT($D465:$G465,AS$459:AS$462)</f>
        <v>8.8602013769742416E-5</v>
      </c>
      <c r="AT465" s="25" cm="1">
        <f t="array" ref="AT465">MMULT($D465:$G465,AT$459:AT$462)</f>
        <v>-4.049164192427044E-3</v>
      </c>
      <c r="AU465" s="25" cm="1">
        <f t="array" ref="AU465">MMULT($D465:$G465,AU$459:AU$462)</f>
        <v>2.1274596302815477E-2</v>
      </c>
      <c r="AV465" s="25" cm="1">
        <f t="array" ref="AV465">MMULT($D465:$G465,AV$459:AV$462)</f>
        <v>1.8286736362742598E-2</v>
      </c>
      <c r="AW465" s="25" cm="1">
        <f t="array" ref="AW465">MMULT($D465:$G465,AW$459:AW$462)</f>
        <v>3.9805623284567646E-2</v>
      </c>
      <c r="AX465" s="25" cm="1">
        <f t="array" ref="AX465">MMULT($D465:$G465,AX$459:AX$462)</f>
        <v>6.0871095073067177E-3</v>
      </c>
      <c r="AY465" s="25" cm="1">
        <f t="array" ref="AY465">MMULT($D465:$G465,AY$459:AY$462)</f>
        <v>2.3724675324775964E-2</v>
      </c>
      <c r="AZ465" s="25" cm="1">
        <f t="array" ref="AZ465">MMULT($D465:$G465,AZ$459:AZ$462)</f>
        <v>1.521949307890009E-2</v>
      </c>
      <c r="BA465" s="25" cm="1">
        <f t="array" ref="BA465">MMULT($D465:$G465,BA$459:BA$462)</f>
        <v>-1.8271637312513037E-2</v>
      </c>
      <c r="BB465" s="25" cm="1">
        <f t="array" ref="BB465">MMULT($D465:$G465,BB$459:BB$462)</f>
        <v>2.11606185398697E-2</v>
      </c>
      <c r="BC465" s="25" cm="1">
        <f t="array" ref="BC465">MMULT($D465:$G465,BC$459:BC$462)</f>
        <v>-1.83974060224825E-2</v>
      </c>
      <c r="BD465" s="25" cm="1">
        <f t="array" ref="BD465">MMULT($D465:$G465,BD$459:BD$462)</f>
        <v>-1.9793715940739278E-2</v>
      </c>
      <c r="BE465" s="25" cm="1">
        <f t="array" ref="BE465">MMULT($D465:$G465,BE$459:BE$462)</f>
        <v>-1.0864936464043969E-2</v>
      </c>
    </row>
    <row r="466" spans="4:57" x14ac:dyDescent="0.3">
      <c r="D466" s="5">
        <v>-1.3566688201092414E-2</v>
      </c>
      <c r="E466" s="5">
        <v>1.2143547607539773E-2</v>
      </c>
      <c r="F466" s="5">
        <v>2.2886632635889192E-2</v>
      </c>
      <c r="G466" s="5">
        <v>4.6511627906976827E-2</v>
      </c>
      <c r="H466" s="25" cm="1">
        <f t="array" ref="H466">MMULT($D466:$G466,H$459:H$462)</f>
        <v>1.6993779987328345E-2</v>
      </c>
      <c r="I466" s="25" cm="1">
        <f t="array" ref="I466">MMULT($D466:$G466,I$459:I$462)</f>
        <v>2.0792019332432674E-2</v>
      </c>
      <c r="J466" s="25" cm="1">
        <f t="array" ref="J466">MMULT($D466:$G466,J$459:J$462)</f>
        <v>1.4532193442472606E-2</v>
      </c>
      <c r="K466" s="25" cm="1">
        <f t="array" ref="K466">MMULT($D466:$G466,K$459:K$462)</f>
        <v>2.2636541831165809E-2</v>
      </c>
      <c r="L466" s="25" cm="1">
        <f t="array" ref="L466">MMULT($D466:$G466,L$459:L$462)</f>
        <v>4.1988386484714275E-3</v>
      </c>
      <c r="M466" s="25" cm="1">
        <f t="array" ref="M466">MMULT($D466:$G466,M$459:M$462)</f>
        <v>8.7770093715175603E-3</v>
      </c>
      <c r="N466" s="25" cm="1">
        <f t="array" ref="N466">MMULT($D466:$G466,N$459:N$462)</f>
        <v>1.8576907944860201E-2</v>
      </c>
      <c r="O466" s="25" cm="1">
        <f t="array" ref="O466">MMULT($D466:$G466,O$459:O$462)</f>
        <v>2.419624194310312E-2</v>
      </c>
      <c r="P466" s="25" cm="1">
        <f t="array" ref="P466">MMULT($D466:$G466,P$459:P$462)</f>
        <v>7.9467646821674478E-3</v>
      </c>
      <c r="Q466" s="25" cm="1">
        <f t="array" ref="Q466">MMULT($D466:$G466,Q$459:Q$462)</f>
        <v>1.4636273618492226E-2</v>
      </c>
      <c r="R466" s="25" cm="1">
        <f t="array" ref="R466">MMULT($D466:$G466,R$459:R$462)</f>
        <v>8.7144267524985088E-3</v>
      </c>
      <c r="S466" s="25" cm="1">
        <f t="array" ref="S466">MMULT($D466:$G466,S$459:S$462)</f>
        <v>3.1685931949429438E-2</v>
      </c>
      <c r="T466" s="25" cm="1">
        <f t="array" ref="T466">MMULT($D466:$G466,T$459:T$462)</f>
        <v>1.1483305692251759E-2</v>
      </c>
      <c r="U466" s="25" cm="1">
        <f t="array" ref="U466">MMULT($D466:$G466,U$459:U$462)</f>
        <v>-1.6573876257360331E-3</v>
      </c>
      <c r="V466" s="25" cm="1">
        <f t="array" ref="V466">MMULT($D466:$G466,V$459:V$462)</f>
        <v>2.2194346434438319E-2</v>
      </c>
      <c r="W466" s="25" cm="1">
        <f t="array" ref="W466">MMULT($D466:$G466,W$459:W$462)</f>
        <v>1.0148616941548144E-2</v>
      </c>
      <c r="X466" s="25" cm="1">
        <f t="array" ref="X466">MMULT($D466:$G466,X$459:X$462)</f>
        <v>1.7720271030477998E-2</v>
      </c>
      <c r="Y466" s="25" cm="1">
        <f t="array" ref="Y466">MMULT($D466:$G466,Y$459:Y$462)</f>
        <v>1.9565401139490818E-2</v>
      </c>
      <c r="Z466" s="25" cm="1">
        <f t="array" ref="Z466">MMULT($D466:$G466,Z$459:Z$462)</f>
        <v>5.216326061369193E-3</v>
      </c>
      <c r="AA466" s="25" cm="1">
        <f t="array" ref="AA466">MMULT($D466:$G466,AA$459:AA$462)</f>
        <v>2.4368446028729035E-2</v>
      </c>
      <c r="AB466" s="25" cm="1">
        <f t="array" ref="AB466">MMULT($D466:$G466,AB$459:AB$462)</f>
        <v>2.8680472724259398E-2</v>
      </c>
      <c r="AC466" s="25" cm="1">
        <f t="array" ref="AC466">MMULT($D466:$G466,AC$459:AC$462)</f>
        <v>2.4594454446164638E-2</v>
      </c>
      <c r="AD466" s="25" cm="1">
        <f t="array" ref="AD466">MMULT($D466:$G466,AD$459:AD$462)</f>
        <v>2.703327014166769E-2</v>
      </c>
      <c r="AE466" s="25" cm="1">
        <f t="array" ref="AE466">MMULT($D466:$G466,AE$459:AE$462)</f>
        <v>1.3594282850232564E-2</v>
      </c>
      <c r="AF466" s="25" cm="1">
        <f t="array" ref="AF466">MMULT($D466:$G466,AF$459:AF$462)</f>
        <v>2.5312917659319176E-2</v>
      </c>
      <c r="AG466" s="25" cm="1">
        <f t="array" ref="AG466">MMULT($D466:$G466,AG$459:AG$462)</f>
        <v>4.5810734934683718E-3</v>
      </c>
      <c r="AH466" s="25" cm="1">
        <f t="array" ref="AH466">MMULT($D466:$G466,AH$459:AH$462)</f>
        <v>2.1871156611683157E-3</v>
      </c>
      <c r="AI466" s="25" cm="1">
        <f t="array" ref="AI466">MMULT($D466:$G466,AI$459:AI$462)</f>
        <v>-1.5993076430355193E-3</v>
      </c>
      <c r="AJ466" s="25" cm="1">
        <f t="array" ref="AJ466">MMULT($D466:$G466,AJ$459:AJ$462)</f>
        <v>1.8926186779863047E-2</v>
      </c>
      <c r="AK466" s="25" cm="1">
        <f t="array" ref="AK466">MMULT($D466:$G466,AK$459:AK$462)</f>
        <v>5.7366075327584393E-3</v>
      </c>
      <c r="AL466" s="25" cm="1">
        <f t="array" ref="AL466">MMULT($D466:$G466,AL$459:AL$462)</f>
        <v>-3.2711679437480764E-3</v>
      </c>
      <c r="AM466" s="25" cm="1">
        <f t="array" ref="AM466">MMULT($D466:$G466,AM$459:AM$462)</f>
        <v>2.2760304050226467E-2</v>
      </c>
      <c r="AN466" s="25" cm="1">
        <f t="array" ref="AN466">MMULT($D466:$G466,AN$459:AN$462)</f>
        <v>2.5835378529457914E-2</v>
      </c>
      <c r="AO466" s="25" cm="1">
        <f t="array" ref="AO466">MMULT($D466:$G466,AO$459:AO$462)</f>
        <v>2.5992640895820512E-2</v>
      </c>
      <c r="AP466" s="25" cm="1">
        <f t="array" ref="AP466">MMULT($D466:$G466,AP$459:AP$462)</f>
        <v>1.5896977383803804E-2</v>
      </c>
      <c r="AQ466" s="25" cm="1">
        <f t="array" ref="AQ466">MMULT($D466:$G466,AQ$459:AQ$462)</f>
        <v>2.1805426799287785E-2</v>
      </c>
      <c r="AR466" s="25" cm="1">
        <f t="array" ref="AR466">MMULT($D466:$G466,AR$459:AR$462)</f>
        <v>1.3381243973766947E-2</v>
      </c>
      <c r="AS466" s="25" cm="1">
        <f t="array" ref="AS466">MMULT($D466:$G466,AS$459:AS$462)</f>
        <v>1.5157794502813265E-2</v>
      </c>
      <c r="AT466" s="25" cm="1">
        <f t="array" ref="AT466">MMULT($D466:$G466,AT$459:AT$462)</f>
        <v>2.6898307048132834E-2</v>
      </c>
      <c r="AU466" s="25" cm="1">
        <f t="array" ref="AU466">MMULT($D466:$G466,AU$459:AU$462)</f>
        <v>1.9986218587508292E-2</v>
      </c>
      <c r="AV466" s="25" cm="1">
        <f t="array" ref="AV466">MMULT($D466:$G466,AV$459:AV$462)</f>
        <v>1.7751552014632469E-2</v>
      </c>
      <c r="AW466" s="25" cm="1">
        <f t="array" ref="AW466">MMULT($D466:$G466,AW$459:AW$462)</f>
        <v>1.5495114420706455E-2</v>
      </c>
      <c r="AX466" s="25" cm="1">
        <f t="array" ref="AX466">MMULT($D466:$G466,AX$459:AX$462)</f>
        <v>2.7726650048346207E-2</v>
      </c>
      <c r="AY466" s="25" cm="1">
        <f t="array" ref="AY466">MMULT($D466:$G466,AY$459:AY$462)</f>
        <v>2.0312373823315539E-2</v>
      </c>
      <c r="AZ466" s="25" cm="1">
        <f t="array" ref="AZ466">MMULT($D466:$G466,AZ$459:AZ$462)</f>
        <v>6.6162264387463841E-3</v>
      </c>
      <c r="BA466" s="25" cm="1">
        <f t="array" ref="BA466">MMULT($D466:$G466,BA$459:BA$462)</f>
        <v>2.5477844456735701E-2</v>
      </c>
      <c r="BB466" s="25" cm="1">
        <f t="array" ref="BB466">MMULT($D466:$G466,BB$459:BB$462)</f>
        <v>1.6568908372206717E-2</v>
      </c>
      <c r="BC466" s="25" cm="1">
        <f t="array" ref="BC466">MMULT($D466:$G466,BC$459:BC$462)</f>
        <v>2.7873675042090006E-2</v>
      </c>
      <c r="BD466" s="25" cm="1">
        <f t="array" ref="BD466">MMULT($D466:$G466,BD$459:BD$462)</f>
        <v>2.6293078546992078E-2</v>
      </c>
      <c r="BE466" s="25" cm="1">
        <f t="array" ref="BE466">MMULT($D466:$G466,BE$459:BE$462)</f>
        <v>2.623416362791834E-2</v>
      </c>
    </row>
    <row r="467" spans="4:57" x14ac:dyDescent="0.3">
      <c r="D467" s="5">
        <v>-2.429149797570862E-2</v>
      </c>
      <c r="E467" s="5">
        <v>-3.4919118963767648E-2</v>
      </c>
      <c r="F467" s="5">
        <v>-1.2777625445571594E-2</v>
      </c>
      <c r="G467" s="5">
        <v>-9.52380952380949E-3</v>
      </c>
      <c r="H467" s="25" cm="1">
        <f t="array" ref="H467">MMULT($D467:$G467,H$459:H$462)</f>
        <v>-2.0378012977214338E-2</v>
      </c>
      <c r="I467" s="25" cm="1">
        <f t="array" ref="I467">MMULT($D467:$G467,I$459:I$462)</f>
        <v>-2.1804265652555086E-2</v>
      </c>
      <c r="J467" s="25" cm="1">
        <f t="array" ref="J467">MMULT($D467:$G467,J$459:J$462)</f>
        <v>-2.6413675516695274E-2</v>
      </c>
      <c r="K467" s="25" cm="1">
        <f t="array" ref="K467">MMULT($D467:$G467,K$459:K$462)</f>
        <v>-1.5799057977113895E-2</v>
      </c>
      <c r="L467" s="25" cm="1">
        <f t="array" ref="L467">MMULT($D467:$G467,L$459:L$462)</f>
        <v>-2.3751798323667857E-2</v>
      </c>
      <c r="M467" s="25" cm="1">
        <f t="array" ref="M467">MMULT($D467:$G467,M$459:M$462)</f>
        <v>-2.1553275004115087E-2</v>
      </c>
      <c r="N467" s="25" cm="1">
        <f t="array" ref="N467">MMULT($D467:$G467,N$459:N$462)</f>
        <v>-2.1228819027609633E-2</v>
      </c>
      <c r="O467" s="25" cm="1">
        <f t="array" ref="O467">MMULT($D467:$G467,O$459:O$462)</f>
        <v>-1.8387599169878706E-2</v>
      </c>
      <c r="P467" s="25" cm="1">
        <f t="array" ref="P467">MMULT($D467:$G467,P$459:P$462)</f>
        <v>-1.9382537311424468E-2</v>
      </c>
      <c r="Q467" s="25" cm="1">
        <f t="array" ref="Q467">MMULT($D467:$G467,Q$459:Q$462)</f>
        <v>-2.3364050783892476E-2</v>
      </c>
      <c r="R467" s="25" cm="1">
        <f t="array" ref="R467">MMULT($D467:$G467,R$459:R$462)</f>
        <v>-2.1649476179790194E-2</v>
      </c>
      <c r="S467" s="25" cm="1">
        <f t="array" ref="S467">MMULT($D467:$G467,S$459:S$462)</f>
        <v>-1.3930253719711818E-2</v>
      </c>
      <c r="T467" s="25" cm="1">
        <f t="array" ref="T467">MMULT($D467:$G467,T$459:T$462)</f>
        <v>-2.3624859240266926E-2</v>
      </c>
      <c r="U467" s="25" cm="1">
        <f t="array" ref="U467">MMULT($D467:$G467,U$459:U$462)</f>
        <v>-2.5401327510664776E-2</v>
      </c>
      <c r="V467" s="25" cm="1">
        <f t="array" ref="V467">MMULT($D467:$G467,V$459:V$462)</f>
        <v>-1.9655234699858977E-2</v>
      </c>
      <c r="W467" s="25" cm="1">
        <f t="array" ref="W467">MMULT($D467:$G467,W$459:W$462)</f>
        <v>-2.4618113659258117E-2</v>
      </c>
      <c r="X467" s="25" cm="1">
        <f t="array" ref="X467">MMULT($D467:$G467,X$459:X$462)</f>
        <v>-1.7553536147564643E-2</v>
      </c>
      <c r="Y467" s="25" cm="1">
        <f t="array" ref="Y467">MMULT($D467:$G467,Y$459:Y$462)</f>
        <v>-2.460649731593538E-2</v>
      </c>
      <c r="Z467" s="25" cm="1">
        <f t="array" ref="Z467">MMULT($D467:$G467,Z$459:Z$462)</f>
        <v>-2.0584240167342626E-2</v>
      </c>
      <c r="AA467" s="25" cm="1">
        <f t="array" ref="AA467">MMULT($D467:$G467,AA$459:AA$462)</f>
        <v>-1.7554900928408661E-2</v>
      </c>
      <c r="AB467" s="25" cm="1">
        <f t="array" ref="AB467">MMULT($D467:$G467,AB$459:AB$462)</f>
        <v>-1.7105074861318979E-2</v>
      </c>
      <c r="AC467" s="25" cm="1">
        <f t="array" ref="AC467">MMULT($D467:$G467,AC$459:AC$462)</f>
        <v>-1.5638244505228573E-2</v>
      </c>
      <c r="AD467" s="25" cm="1">
        <f t="array" ref="AD467">MMULT($D467:$G467,AD$459:AD$462)</f>
        <v>-1.5825438236160762E-2</v>
      </c>
      <c r="AE467" s="25" cm="1">
        <f t="array" ref="AE467">MMULT($D467:$G467,AE$459:AE$462)</f>
        <v>-1.9945830188595151E-2</v>
      </c>
      <c r="AF467" s="25" cm="1">
        <f t="array" ref="AF467">MMULT($D467:$G467,AF$459:AF$462)</f>
        <v>-1.3403825612233957E-2</v>
      </c>
      <c r="AG467" s="25" cm="1">
        <f t="array" ref="AG467">MMULT($D467:$G467,AG$459:AG$462)</f>
        <v>-2.190139325722527E-2</v>
      </c>
      <c r="AH467" s="25" cm="1">
        <f t="array" ref="AH467">MMULT($D467:$G467,AH$459:AH$462)</f>
        <v>-2.3750629427546199E-2</v>
      </c>
      <c r="AI467" s="25" cm="1">
        <f t="array" ref="AI467">MMULT($D467:$G467,AI$459:AI$462)</f>
        <v>-2.3595186209595567E-2</v>
      </c>
      <c r="AJ467" s="25" cm="1">
        <f t="array" ref="AJ467">MMULT($D467:$G467,AJ$459:AJ$462)</f>
        <v>-2.1526940401551353E-2</v>
      </c>
      <c r="AK467" s="25" cm="1">
        <f t="array" ref="AK467">MMULT($D467:$G467,AK$459:AK$462)</f>
        <v>-2.2405749756760771E-2</v>
      </c>
      <c r="AL467" s="25" cm="1">
        <f t="array" ref="AL467">MMULT($D467:$G467,AL$459:AL$462)</f>
        <v>-2.4151089946370691E-2</v>
      </c>
      <c r="AM467" s="25" cm="1">
        <f t="array" ref="AM467">MMULT($D467:$G467,AM$459:AM$462)</f>
        <v>-1.4761493456884803E-2</v>
      </c>
      <c r="AN467" s="25" cm="1">
        <f t="array" ref="AN467">MMULT($D467:$G467,AN$459:AN$462)</f>
        <v>-1.7128716724502568E-2</v>
      </c>
      <c r="AO467" s="25" cm="1">
        <f t="array" ref="AO467">MMULT($D467:$G467,AO$459:AO$462)</f>
        <v>-1.942366951283411E-2</v>
      </c>
      <c r="AP467" s="25" cm="1">
        <f t="array" ref="AP467">MMULT($D467:$G467,AP$459:AP$462)</f>
        <v>-1.8323319014080564E-2</v>
      </c>
      <c r="AQ467" s="25" cm="1">
        <f t="array" ref="AQ467">MMULT($D467:$G467,AQ$459:AQ$462)</f>
        <v>-1.5441659644442626E-2</v>
      </c>
      <c r="AR467" s="25" cm="1">
        <f t="array" ref="AR467">MMULT($D467:$G467,AR$459:AR$462)</f>
        <v>-1.7440104277893845E-2</v>
      </c>
      <c r="AS467" s="25" cm="1">
        <f t="array" ref="AS467">MMULT($D467:$G467,AS$459:AS$462)</f>
        <v>-1.8415027296995356E-2</v>
      </c>
      <c r="AT467" s="25" cm="1">
        <f t="array" ref="AT467">MMULT($D467:$G467,AT$459:AT$462)</f>
        <v>-1.8500290572474577E-2</v>
      </c>
      <c r="AU467" s="25" cm="1">
        <f t="array" ref="AU467">MMULT($D467:$G467,AU$459:AU$462)</f>
        <v>-2.4251629363388087E-2</v>
      </c>
      <c r="AV467" s="25" cm="1">
        <f t="array" ref="AV467">MMULT($D467:$G467,AV$459:AV$462)</f>
        <v>-2.3277447276134774E-2</v>
      </c>
      <c r="AW467" s="25" cm="1">
        <f t="array" ref="AW467">MMULT($D467:$G467,AW$459:AW$462)</f>
        <v>-2.8157952686818897E-2</v>
      </c>
      <c r="AX467" s="25" cm="1">
        <f t="array" ref="AX467">MMULT($D467:$G467,AX$459:AX$462)</f>
        <v>-2.1427964750899354E-2</v>
      </c>
      <c r="AY467" s="25" cm="1">
        <f t="array" ref="AY467">MMULT($D467:$G467,AY$459:AY$462)</f>
        <v>-2.4918023095107992E-2</v>
      </c>
      <c r="AZ467" s="25" cm="1">
        <f t="array" ref="AZ467">MMULT($D467:$G467,AZ$459:AZ$462)</f>
        <v>-2.1105307185541017E-2</v>
      </c>
      <c r="BA467" s="25" cm="1">
        <f t="array" ref="BA467">MMULT($D467:$G467,BA$459:BA$462)</f>
        <v>-1.4906772111881027E-2</v>
      </c>
      <c r="BB467" s="25" cm="1">
        <f t="array" ref="BB467">MMULT($D467:$G467,BB$459:BB$462)</f>
        <v>-2.342940637537351E-2</v>
      </c>
      <c r="BC467" s="25" cm="1">
        <f t="array" ref="BC467">MMULT($D467:$G467,BC$459:BC$462)</f>
        <v>-1.5208283433075016E-2</v>
      </c>
      <c r="BD467" s="25" cm="1">
        <f t="array" ref="BD467">MMULT($D467:$G467,BD$459:BD$462)</f>
        <v>-1.4104232493365332E-2</v>
      </c>
      <c r="BE467" s="25" cm="1">
        <f t="array" ref="BE467">MMULT($D467:$G467,BE$459:BE$462)</f>
        <v>-1.6748714527953568E-2</v>
      </c>
    </row>
    <row r="468" spans="4:57" x14ac:dyDescent="0.3">
      <c r="D468" s="5">
        <v>-3.6642665364901128E-2</v>
      </c>
      <c r="E468" s="5">
        <v>-3.667738743196447E-2</v>
      </c>
      <c r="F468" s="5">
        <v>-4.7605821575380625E-2</v>
      </c>
      <c r="G468" s="5">
        <v>-3.8461538461538547E-2</v>
      </c>
      <c r="H468" s="25" cm="1">
        <f t="array" ref="H468">MMULT($D468:$G468,H$459:H$462)</f>
        <v>-3.9846853208446192E-2</v>
      </c>
      <c r="I468" s="25" cm="1">
        <f t="array" ref="I468">MMULT($D468:$G468,I$459:I$462)</f>
        <v>-3.9736306102601912E-2</v>
      </c>
      <c r="J468" s="25" cm="1">
        <f t="array" ref="J468">MMULT($D468:$G468,J$459:J$462)</f>
        <v>-3.926650529591879E-2</v>
      </c>
      <c r="K468" s="25" cm="1">
        <f t="array" ref="K468">MMULT($D468:$G468,K$459:K$462)</f>
        <v>-4.1403165832666962E-2</v>
      </c>
      <c r="L468" s="25" cm="1">
        <f t="array" ref="L468">MMULT($D468:$G468,L$459:L$462)</f>
        <v>-3.7937659494059285E-2</v>
      </c>
      <c r="M468" s="25" cm="1">
        <f t="array" ref="M468">MMULT($D468:$G468,M$459:M$462)</f>
        <v>-3.7362706653318159E-2</v>
      </c>
      <c r="N468" s="25" cm="1">
        <f t="array" ref="N468">MMULT($D468:$G468,N$459:N$462)</f>
        <v>-3.8243009240525705E-2</v>
      </c>
      <c r="O468" s="25" cm="1">
        <f t="array" ref="O468">MMULT($D468:$G468,O$459:O$462)</f>
        <v>-4.281534443866563E-2</v>
      </c>
      <c r="P468" s="25" cm="1">
        <f t="array" ref="P468">MMULT($D468:$G468,P$459:P$462)</f>
        <v>-4.1454784686203588E-2</v>
      </c>
      <c r="Q468" s="25" cm="1">
        <f t="array" ref="Q468">MMULT($D468:$G468,Q$459:Q$462)</f>
        <v>-4.0510373158181533E-2</v>
      </c>
      <c r="R468" s="25" cm="1">
        <f t="array" ref="R468">MMULT($D468:$G468,R$459:R$462)</f>
        <v>-3.8030829944190957E-2</v>
      </c>
      <c r="S468" s="25" cm="1">
        <f t="array" ref="S468">MMULT($D468:$G468,S$459:S$462)</f>
        <v>-3.9487344703158317E-2</v>
      </c>
      <c r="T468" s="25" cm="1">
        <f t="array" ref="T468">MMULT($D468:$G468,T$459:T$462)</f>
        <v>-3.9493661397487917E-2</v>
      </c>
      <c r="U468" s="25" cm="1">
        <f t="array" ref="U468">MMULT($D468:$G468,U$459:U$462)</f>
        <v>-3.7986808692370498E-2</v>
      </c>
      <c r="V468" s="25" cm="1">
        <f t="array" ref="V468">MMULT($D468:$G468,V$459:V$462)</f>
        <v>-3.9297129651872105E-2</v>
      </c>
      <c r="W468" s="25" cm="1">
        <f t="array" ref="W468">MMULT($D468:$G468,W$459:W$462)</f>
        <v>-4.0217369865618538E-2</v>
      </c>
      <c r="X468" s="25" cm="1">
        <f t="array" ref="X468">MMULT($D468:$G468,X$459:X$462)</f>
        <v>-4.3628130362849571E-2</v>
      </c>
      <c r="Y468" s="25" cm="1">
        <f t="array" ref="Y468">MMULT($D468:$G468,Y$459:Y$462)</f>
        <v>-3.9503218513929156E-2</v>
      </c>
      <c r="Z468" s="25" cm="1">
        <f t="array" ref="Z468">MMULT($D468:$G468,Z$459:Z$462)</f>
        <v>-3.8909416630906093E-2</v>
      </c>
      <c r="AA468" s="25" cm="1">
        <f t="array" ref="AA468">MMULT($D468:$G468,AA$459:AA$462)</f>
        <v>-3.8157517789145085E-2</v>
      </c>
      <c r="AB468" s="25" cm="1">
        <f t="array" ref="AB468">MMULT($D468:$G468,AB$459:AB$462)</f>
        <v>-3.9571782347585654E-2</v>
      </c>
      <c r="AC468" s="25" cm="1">
        <f t="array" ref="AC468">MMULT($D468:$G468,AC$459:AC$462)</f>
        <v>-4.2141766847824273E-2</v>
      </c>
      <c r="AD468" s="25" cm="1">
        <f t="array" ref="AD468">MMULT($D468:$G468,AD$459:AD$462)</f>
        <v>-3.8082461741565848E-2</v>
      </c>
      <c r="AE468" s="25" cm="1">
        <f t="array" ref="AE468">MMULT($D468:$G468,AE$459:AE$462)</f>
        <v>-3.8780686995409187E-2</v>
      </c>
      <c r="AF468" s="25" cm="1">
        <f t="array" ref="AF468">MMULT($D468:$G468,AF$459:AF$462)</f>
        <v>-4.3805701555956325E-2</v>
      </c>
      <c r="AG468" s="25" cm="1">
        <f t="array" ref="AG468">MMULT($D468:$G468,AG$459:AG$462)</f>
        <v>-3.7516138793264125E-2</v>
      </c>
      <c r="AH468" s="25" cm="1">
        <f t="array" ref="AH468">MMULT($D468:$G468,AH$459:AH$462)</f>
        <v>-3.8922111102435285E-2</v>
      </c>
      <c r="AI468" s="25" cm="1">
        <f t="array" ref="AI468">MMULT($D468:$G468,AI$459:AI$462)</f>
        <v>-3.7546288858572217E-2</v>
      </c>
      <c r="AJ468" s="25" cm="1">
        <f t="array" ref="AJ468">MMULT($D468:$G468,AJ$459:AJ$462)</f>
        <v>-4.0280733792856703E-2</v>
      </c>
      <c r="AK468" s="25" cm="1">
        <f t="array" ref="AK468">MMULT($D468:$G468,AK$459:AK$462)</f>
        <v>-3.8302567033904944E-2</v>
      </c>
      <c r="AL468" s="25" cm="1">
        <f t="array" ref="AL468">MMULT($D468:$G468,AL$459:AL$462)</f>
        <v>-3.7762399224467134E-2</v>
      </c>
      <c r="AM468" s="25" cm="1">
        <f t="array" ref="AM468">MMULT($D468:$G468,AM$459:AM$462)</f>
        <v>-4.1970637660466194E-2</v>
      </c>
      <c r="AN468" s="25" cm="1">
        <f t="array" ref="AN468">MMULT($D468:$G468,AN$459:AN$462)</f>
        <v>-4.0056237094581448E-2</v>
      </c>
      <c r="AO468" s="25" cm="1">
        <f t="array" ref="AO468">MMULT($D468:$G468,AO$459:AO$462)</f>
        <v>-3.8295590762905105E-2</v>
      </c>
      <c r="AP468" s="25" cm="1">
        <f t="array" ref="AP468">MMULT($D468:$G468,AP$459:AP$462)</f>
        <v>-4.335332759863763E-2</v>
      </c>
      <c r="AQ468" s="25" cm="1">
        <f t="array" ref="AQ468">MMULT($D468:$G468,AQ$459:AQ$462)</f>
        <v>-4.0907515865272227E-2</v>
      </c>
      <c r="AR468" s="25" cm="1">
        <f t="array" ref="AR468">MMULT($D468:$G468,AR$459:AR$462)</f>
        <v>-4.3682957135099849E-2</v>
      </c>
      <c r="AS468" s="25" cm="1">
        <f t="array" ref="AS468">MMULT($D468:$G468,AS$459:AS$462)</f>
        <v>-3.7859840971362309E-2</v>
      </c>
      <c r="AT468" s="25" cm="1">
        <f t="array" ref="AT468">MMULT($D468:$G468,AT$459:AT$462)</f>
        <v>-4.0594419228768115E-2</v>
      </c>
      <c r="AU468" s="25" cm="1">
        <f t="array" ref="AU468">MMULT($D468:$G468,AU$459:AU$462)</f>
        <v>-3.7887436964330189E-2</v>
      </c>
      <c r="AV468" s="25" cm="1">
        <f t="array" ref="AV468">MMULT($D468:$G468,AV$459:AV$462)</f>
        <v>-3.7557129979983325E-2</v>
      </c>
      <c r="AW468" s="25" cm="1">
        <f t="array" ref="AW468">MMULT($D468:$G468,AW$459:AW$462)</f>
        <v>-3.945262763293849E-2</v>
      </c>
      <c r="AX468" s="25" cm="1">
        <f t="array" ref="AX468">MMULT($D468:$G468,AX$459:AX$462)</f>
        <v>-3.7618815698895261E-2</v>
      </c>
      <c r="AY468" s="25" cm="1">
        <f t="array" ref="AY468">MMULT($D468:$G468,AY$459:AY$462)</f>
        <v>-3.7707700858217869E-2</v>
      </c>
      <c r="AZ468" s="25" cm="1">
        <f t="array" ref="AZ468">MMULT($D468:$G468,AZ$459:AZ$462)</f>
        <v>-3.8357471950602899E-2</v>
      </c>
      <c r="BA468" s="25" cm="1">
        <f t="array" ref="BA468">MMULT($D468:$G468,BA$459:BA$462)</f>
        <v>-3.9542702383890321E-2</v>
      </c>
      <c r="BB468" s="25" cm="1">
        <f t="array" ref="BB468">MMULT($D468:$G468,BB$459:BB$462)</f>
        <v>-4.1596210507963353E-2</v>
      </c>
      <c r="BC468" s="25" cm="1">
        <f t="array" ref="BC468">MMULT($D468:$G468,BC$459:BC$462)</f>
        <v>-3.9088669941841486E-2</v>
      </c>
      <c r="BD468" s="25" cm="1">
        <f t="array" ref="BD468">MMULT($D468:$G468,BD$459:BD$462)</f>
        <v>-4.4542469769861724E-2</v>
      </c>
      <c r="BE468" s="25" cm="1">
        <f t="array" ref="BE468">MMULT($D468:$G468,BE$459:BE$462)</f>
        <v>-4.0391911892226601E-2</v>
      </c>
    </row>
    <row r="469" spans="4:57" x14ac:dyDescent="0.3">
      <c r="D469" s="5">
        <v>7.0815518606492489E-2</v>
      </c>
      <c r="E469" s="5">
        <v>-4.7576243980738342E-2</v>
      </c>
      <c r="F469" s="5">
        <v>7.3724117818606105E-2</v>
      </c>
      <c r="G469" s="5">
        <v>-5.6666666666666643E-2</v>
      </c>
      <c r="H469" s="25" cm="1">
        <f t="array" ref="H469">MMULT($D469:$G469,H$459:H$462)</f>
        <v>1.0074181444423402E-2</v>
      </c>
      <c r="I469" s="25" cm="1">
        <f t="array" ref="I469">MMULT($D469:$G469,I$459:I$462)</f>
        <v>-7.7585697413409573E-3</v>
      </c>
      <c r="J469" s="25" cm="1">
        <f t="array" ref="J469">MMULT($D469:$G469,J$459:J$462)</f>
        <v>-7.0969234660023077E-3</v>
      </c>
      <c r="K469" s="25" cm="1">
        <f t="array" ref="K469">MMULT($D469:$G469,K$459:K$462)</f>
        <v>1.9149554480151043E-2</v>
      </c>
      <c r="L469" s="25" cm="1">
        <f t="array" ref="L469">MMULT($D469:$G469,L$459:L$462)</f>
        <v>2.5406473054806547E-2</v>
      </c>
      <c r="M469" s="25" cm="1">
        <f t="array" ref="M469">MMULT($D469:$G469,M$459:M$462)</f>
        <v>1.422168322482513E-2</v>
      </c>
      <c r="N469" s="25" cm="1">
        <f t="array" ref="N469">MMULT($D469:$G469,N$459:N$462)</f>
        <v>-9.5321288087476773E-3</v>
      </c>
      <c r="O469" s="25" cm="1">
        <f t="array" ref="O469">MMULT($D469:$G469,O$459:O$462)</f>
        <v>1.5482766334608008E-2</v>
      </c>
      <c r="P469" s="25" cm="1">
        <f t="array" ref="P469">MMULT($D469:$G469,P$459:P$462)</f>
        <v>5.4011867986248581E-2</v>
      </c>
      <c r="Q469" s="25" cm="1">
        <f t="array" ref="Q469">MMULT($D469:$G469,Q$459:Q$462)</f>
        <v>1.2103069273268272E-2</v>
      </c>
      <c r="R469" s="25" cm="1">
        <f t="array" ref="R469">MMULT($D469:$G469,R$459:R$462)</f>
        <v>1.893152929226169E-2</v>
      </c>
      <c r="S469" s="25" cm="1">
        <f t="array" ref="S469">MMULT($D469:$G469,S$459:S$462)</f>
        <v>-1.7148928786791435E-2</v>
      </c>
      <c r="T469" s="25" cm="1">
        <f t="array" ref="T469">MMULT($D469:$G469,T$459:T$462)</f>
        <v>1.3890298229425902E-2</v>
      </c>
      <c r="U469" s="25" cm="1">
        <f t="array" ref="U469">MMULT($D469:$G469,U$459:U$462)</f>
        <v>3.8749781643494706E-2</v>
      </c>
      <c r="V469" s="25" cm="1">
        <f t="array" ref="V469">MMULT($D469:$G469,V$459:V$462)</f>
        <v>-8.002069711000483E-3</v>
      </c>
      <c r="W469" s="25" cm="1">
        <f t="array" ref="W469">MMULT($D469:$G469,W$459:W$462)</f>
        <v>1.99661201300332E-2</v>
      </c>
      <c r="X469" s="25" cm="1">
        <f t="array" ref="X469">MMULT($D469:$G469,X$459:X$462)</f>
        <v>4.4901959020186039E-2</v>
      </c>
      <c r="Y469" s="25" cm="1">
        <f t="array" ref="Y469">MMULT($D469:$G469,Y$459:Y$462)</f>
        <v>-1.5200174917712798E-2</v>
      </c>
      <c r="Z469" s="25" cm="1">
        <f t="array" ref="Z469">MMULT($D469:$G469,Z$459:Z$462)</f>
        <v>4.0128223599811594E-2</v>
      </c>
      <c r="AA469" s="25" cm="1">
        <f t="array" ref="AA469">MMULT($D469:$G469,AA$459:AA$462)</f>
        <v>-1.595095691728831E-2</v>
      </c>
      <c r="AB469" s="25" cm="1">
        <f t="array" ref="AB469">MMULT($D469:$G469,AB$459:AB$462)</f>
        <v>-1.7901476902480368E-2</v>
      </c>
      <c r="AC469" s="25" cm="1">
        <f t="array" ref="AC469">MMULT($D469:$G469,AC$459:AC$462)</f>
        <v>1.8813049717062241E-2</v>
      </c>
      <c r="AD469" s="25" cm="1">
        <f t="array" ref="AD469">MMULT($D469:$G469,AD$459:AD$462)</f>
        <v>-1.9028758144677443E-2</v>
      </c>
      <c r="AE469" s="25" cm="1">
        <f t="array" ref="AE469">MMULT($D469:$G469,AE$459:AE$462)</f>
        <v>1.4679138915986805E-2</v>
      </c>
      <c r="AF469" s="25" cm="1">
        <f t="array" ref="AF469">MMULT($D469:$G469,AF$459:AF$462)</f>
        <v>3.6286629267353675E-2</v>
      </c>
      <c r="AG469" s="25" cm="1">
        <f t="array" ref="AG469">MMULT($D469:$G469,AG$459:AG$462)</f>
        <v>2.7514190101168901E-2</v>
      </c>
      <c r="AH469" s="25" cm="1">
        <f t="array" ref="AH469">MMULT($D469:$G469,AH$459:AH$462)</f>
        <v>3.8960560121940366E-2</v>
      </c>
      <c r="AI469" s="25" cm="1">
        <f t="array" ref="AI469">MMULT($D469:$G469,AI$459:AI$462)</f>
        <v>4.160090524150932E-2</v>
      </c>
      <c r="AJ469" s="25" cm="1">
        <f t="array" ref="AJ469">MMULT($D469:$G469,AJ$459:AJ$462)</f>
        <v>3.093700290261554E-3</v>
      </c>
      <c r="AK469" s="25" cm="1">
        <f t="array" ref="AK469">MMULT($D469:$G469,AK$459:AK$462)</f>
        <v>2.7789147783949822E-2</v>
      </c>
      <c r="AL469" s="25" cm="1">
        <f t="array" ref="AL469">MMULT($D469:$G469,AL$459:AL$462)</f>
        <v>4.6581616744411608E-2</v>
      </c>
      <c r="AM469" s="25" cm="1">
        <f t="array" ref="AM469">MMULT($D469:$G469,AM$459:AM$462)</f>
        <v>2.6445740217451906E-2</v>
      </c>
      <c r="AN469" s="25" cm="1">
        <f t="array" ref="AN469">MMULT($D469:$G469,AN$459:AN$462)</f>
        <v>-5.3988679778575119E-3</v>
      </c>
      <c r="AO469" s="25" cm="1">
        <f t="array" ref="AO469">MMULT($D469:$G469,AO$459:AO$462)</f>
        <v>-2.6574849430104682E-2</v>
      </c>
      <c r="AP469" s="25" cm="1">
        <f t="array" ref="AP469">MMULT($D469:$G469,AP$459:AP$462)</f>
        <v>4.6070234242763256E-2</v>
      </c>
      <c r="AQ469" s="25" cm="1">
        <f t="array" ref="AQ469">MMULT($D469:$G469,AQ$459:AQ$462)</f>
        <v>1.9440519202548613E-2</v>
      </c>
      <c r="AR469" s="25" cm="1">
        <f t="array" ref="AR469">MMULT($D469:$G469,AR$459:AR$462)</f>
        <v>5.9527938758847883E-2</v>
      </c>
      <c r="AS469" s="25" cm="1">
        <f t="array" ref="AS469">MMULT($D469:$G469,AS$459:AS$462)</f>
        <v>8.2987444336415951E-3</v>
      </c>
      <c r="AT469" s="25" cm="1">
        <f t="array" ref="AT469">MMULT($D469:$G469,AT$459:AT$462)</f>
        <v>-9.6184762077150578E-3</v>
      </c>
      <c r="AU469" s="25" cm="1">
        <f t="array" ref="AU469">MMULT($D469:$G469,AU$459:AU$462)</f>
        <v>-2.7028273661950313E-2</v>
      </c>
      <c r="AV469" s="25" cm="1">
        <f t="array" ref="AV469">MMULT($D469:$G469,AV$459:AV$462)</f>
        <v>-1.8935894436061848E-2</v>
      </c>
      <c r="AW469" s="25" cm="1">
        <f t="array" ref="AW469">MMULT($D469:$G469,AW$459:AW$462)</f>
        <v>-1.483440873521439E-2</v>
      </c>
      <c r="AX469" s="25" cm="1">
        <f t="array" ref="AX469">MMULT($D469:$G469,AX$459:AX$462)</f>
        <v>-4.3921725837942668E-2</v>
      </c>
      <c r="AY469" s="25" cm="1">
        <f t="array" ref="AY469">MMULT($D469:$G469,AY$459:AY$462)</f>
        <v>-3.1669202020206982E-2</v>
      </c>
      <c r="AZ469" s="25" cm="1">
        <f t="array" ref="AZ469">MMULT($D469:$G469,AZ$459:AZ$462)</f>
        <v>2.9866765626175976E-2</v>
      </c>
      <c r="BA469" s="25" cm="1">
        <f t="array" ref="BA469">MMULT($D469:$G469,BA$459:BA$462)</f>
        <v>-3.1748649014001762E-4</v>
      </c>
      <c r="BB469" s="25" cm="1">
        <f t="array" ref="BB469">MMULT($D469:$G469,BB$459:BB$462)</f>
        <v>1.3583680486253675E-2</v>
      </c>
      <c r="BC469" s="25" cm="1">
        <f t="array" ref="BC469">MMULT($D469:$G469,BC$459:BC$462)</f>
        <v>-1.2288251827820118E-2</v>
      </c>
      <c r="BD469" s="25" cm="1">
        <f t="array" ref="BD469">MMULT($D469:$G469,BD$459:BD$462)</f>
        <v>3.6084841860650696E-2</v>
      </c>
      <c r="BE469" s="25" cm="1">
        <f t="array" ref="BE469">MMULT($D469:$G469,BE$459:BE$462)</f>
        <v>-2.9273860944843098E-3</v>
      </c>
    </row>
    <row r="470" spans="4:57" x14ac:dyDescent="0.3">
      <c r="D470" s="5">
        <v>0.1206707876134987</v>
      </c>
      <c r="E470" s="5">
        <v>4.2604826749359503E-2</v>
      </c>
      <c r="F470" s="5">
        <v>2.5313705252865359E-2</v>
      </c>
      <c r="G470" s="5">
        <v>8.8339222614840951E-2</v>
      </c>
      <c r="H470" s="25" cm="1">
        <f t="array" ref="H470">MMULT($D470:$G470,H$459:H$462)</f>
        <v>6.9232135557641128E-2</v>
      </c>
      <c r="I470" s="25" cm="1">
        <f t="array" ref="I470">MMULT($D470:$G470,I$459:I$462)</f>
        <v>5.9313179106107186E-2</v>
      </c>
      <c r="J470" s="25" cm="1">
        <f t="array" ref="J470">MMULT($D470:$G470,J$459:J$462)</f>
        <v>5.2319507319914894E-2</v>
      </c>
      <c r="K470" s="25" cm="1">
        <f t="array" ref="K470">MMULT($D470:$G470,K$459:K$462)</f>
        <v>6.7379184975187814E-2</v>
      </c>
      <c r="L470" s="25" cm="1">
        <f t="array" ref="L470">MMULT($D470:$G470,L$459:L$462)</f>
        <v>8.8498815978674372E-2</v>
      </c>
      <c r="M470" s="25" cm="1">
        <f t="array" ref="M470">MMULT($D470:$G470,M$459:M$462)</f>
        <v>9.6767845721246387E-2</v>
      </c>
      <c r="N470" s="25" cm="1">
        <f t="array" ref="N470">MMULT($D470:$G470,N$459:N$462)</f>
        <v>7.7678414952720959E-2</v>
      </c>
      <c r="O470" s="25" cm="1">
        <f t="array" ref="O470">MMULT($D470:$G470,O$459:O$462)</f>
        <v>4.2172533493783443E-2</v>
      </c>
      <c r="P470" s="25" cm="1">
        <f t="array" ref="P470">MMULT($D470:$G470,P$459:P$462)</f>
        <v>7.1049360589440447E-2</v>
      </c>
      <c r="Q470" s="25" cm="1">
        <f t="array" ref="Q470">MMULT($D470:$G470,Q$459:Q$462)</f>
        <v>5.4014950214923696E-2</v>
      </c>
      <c r="R470" s="25" cm="1">
        <f t="array" ref="R470">MMULT($D470:$G470,R$459:R$462)</f>
        <v>9.0592823893571359E-2</v>
      </c>
      <c r="S470" s="25" cm="1">
        <f t="array" ref="S470">MMULT($D470:$G470,S$459:S$462)</f>
        <v>8.0213759442404275E-2</v>
      </c>
      <c r="T470" s="25" cm="1">
        <f t="array" ref="T470">MMULT($D470:$G470,T$459:T$462)</f>
        <v>6.593122467585423E-2</v>
      </c>
      <c r="U470" s="25" cm="1">
        <f t="array" ref="U470">MMULT($D470:$G470,U$459:U$462)</f>
        <v>8.8789297660307395E-2</v>
      </c>
      <c r="V470" s="25" cm="1">
        <f t="array" ref="V470">MMULT($D470:$G470,V$459:V$462)</f>
        <v>7.0311145141527448E-2</v>
      </c>
      <c r="W470" s="25" cm="1">
        <f t="array" ref="W470">MMULT($D470:$G470,W$459:W$462)</f>
        <v>5.7176820864142601E-2</v>
      </c>
      <c r="X470" s="25" cm="1">
        <f t="array" ref="X470">MMULT($D470:$G470,X$459:X$462)</f>
        <v>4.6944037390589687E-2</v>
      </c>
      <c r="Y470" s="25" cm="1">
        <f t="array" ref="Y470">MMULT($D470:$G470,Y$459:Y$462)</f>
        <v>5.1251212315336886E-2</v>
      </c>
      <c r="Z470" s="25" cm="1">
        <f t="array" ref="Z470">MMULT($D470:$G470,Z$459:Z$462)</f>
        <v>9.1884566329277648E-2</v>
      </c>
      <c r="AA470" s="25" cm="1">
        <f t="array" ref="AA470">MMULT($D470:$G470,AA$459:AA$462)</f>
        <v>8.6241187728979263E-2</v>
      </c>
      <c r="AB470" s="25" cm="1">
        <f t="array" ref="AB470">MMULT($D470:$G470,AB$459:AB$462)</f>
        <v>7.0124642039462198E-2</v>
      </c>
      <c r="AC470" s="25" cm="1">
        <f t="array" ref="AC470">MMULT($D470:$G470,AC$459:AC$462)</f>
        <v>5.9034899305142052E-2</v>
      </c>
      <c r="AD470" s="25" cm="1">
        <f t="array" ref="AD470">MMULT($D470:$G470,AD$459:AD$462)</f>
        <v>9.0656958428311646E-2</v>
      </c>
      <c r="AE470" s="25" cm="1">
        <f t="array" ref="AE470">MMULT($D470:$G470,AE$459:AE$462)</f>
        <v>8.4794886488286175E-2</v>
      </c>
      <c r="AF470" s="25" cm="1">
        <f t="array" ref="AF470">MMULT($D470:$G470,AF$459:AF$462)</f>
        <v>5.2848196087444246E-2</v>
      </c>
      <c r="AG470" s="25" cm="1">
        <f t="array" ref="AG470">MMULT($D470:$G470,AG$459:AG$462)</f>
        <v>9.9420533757871118E-2</v>
      </c>
      <c r="AH470" s="25" cm="1">
        <f t="array" ref="AH470">MMULT($D470:$G470,AH$459:AH$462)</f>
        <v>8.2490181054821698E-2</v>
      </c>
      <c r="AI470" s="25" cm="1">
        <f t="array" ref="AI470">MMULT($D470:$G470,AI$459:AI$462)</f>
        <v>0.10011379482953556</v>
      </c>
      <c r="AJ470" s="25" cm="1">
        <f t="array" ref="AJ470">MMULT($D470:$G470,AJ$459:AJ$462)</f>
        <v>5.8123748063112879E-2</v>
      </c>
      <c r="AK470" s="25" cm="1">
        <f t="array" ref="AK470">MMULT($D470:$G470,AK$459:AK$462)</f>
        <v>8.8922675155540393E-2</v>
      </c>
      <c r="AL470" s="25" cm="1">
        <f t="array" ref="AL470">MMULT($D470:$G470,AL$459:AL$462)</f>
        <v>9.8071130718518099E-2</v>
      </c>
      <c r="AM470" s="25" cm="1">
        <f t="array" ref="AM470">MMULT($D470:$G470,AM$459:AM$462)</f>
        <v>6.6576985430949143E-2</v>
      </c>
      <c r="AN470" s="25" cm="1">
        <f t="array" ref="AN470">MMULT($D470:$G470,AN$459:AN$462)</f>
        <v>6.9476407132849291E-2</v>
      </c>
      <c r="AO470" s="25" cm="1">
        <f t="array" ref="AO470">MMULT($D470:$G470,AO$459:AO$462)</f>
        <v>7.5120345799487009E-2</v>
      </c>
      <c r="AP470" s="25" cm="1">
        <f t="array" ref="AP470">MMULT($D470:$G470,AP$459:AP$462)</f>
        <v>4.8507091628101101E-2</v>
      </c>
      <c r="AQ470" s="25" cm="1">
        <f t="array" ref="AQ470">MMULT($D470:$G470,AQ$459:AQ$462)</f>
        <v>7.4294085024432049E-2</v>
      </c>
      <c r="AR470" s="25" cm="1">
        <f t="array" ref="AR470">MMULT($D470:$G470,AR$459:AR$462)</f>
        <v>5.2573399902082978E-2</v>
      </c>
      <c r="AS470" s="25" cm="1">
        <f t="array" ref="AS470">MMULT($D470:$G470,AS$459:AS$462)</f>
        <v>9.7223542740883712E-2</v>
      </c>
      <c r="AT470" s="25" cm="1">
        <f t="array" ref="AT470">MMULT($D470:$G470,AT$459:AT$462)</f>
        <v>5.7654029828316064E-2</v>
      </c>
      <c r="AU470" s="25" cm="1">
        <f t="array" ref="AU470">MMULT($D470:$G470,AU$459:AU$462)</f>
        <v>6.6344968456458556E-2</v>
      </c>
      <c r="AV470" s="25" cm="1">
        <f t="array" ref="AV470">MMULT($D470:$G470,AV$459:AV$462)</f>
        <v>7.6208904351030449E-2</v>
      </c>
      <c r="AW470" s="25" cm="1">
        <f t="array" ref="AW470">MMULT($D470:$G470,AW$459:AW$462)</f>
        <v>4.215627618438883E-2</v>
      </c>
      <c r="AX470" s="25" cm="1">
        <f t="array" ref="AX470">MMULT($D470:$G470,AX$459:AX$462)</f>
        <v>7.0431571348195665E-2</v>
      </c>
      <c r="AY470" s="25" cm="1">
        <f t="array" ref="AY470">MMULT($D470:$G470,AY$459:AY$462)</f>
        <v>6.4714474005553219E-2</v>
      </c>
      <c r="AZ470" s="25" cm="1">
        <f t="array" ref="AZ470">MMULT($D470:$G470,AZ$459:AZ$462)</f>
        <v>9.2727608652523164E-2</v>
      </c>
      <c r="BA470" s="25" cm="1">
        <f t="array" ref="BA470">MMULT($D470:$G470,BA$459:BA$462)</f>
        <v>8.3716362279496748E-2</v>
      </c>
      <c r="BB470" s="25" cm="1">
        <f t="array" ref="BB470">MMULT($D470:$G470,BB$459:BB$462)</f>
        <v>4.1716550861354236E-2</v>
      </c>
      <c r="BC470" s="25" cm="1">
        <f t="array" ref="BC470">MMULT($D470:$G470,BC$459:BC$462)</f>
        <v>8.3324246640420596E-2</v>
      </c>
      <c r="BD470" s="25" cm="1">
        <f t="array" ref="BD470">MMULT($D470:$G470,BD$459:BD$462)</f>
        <v>4.2194903335893513E-2</v>
      </c>
      <c r="BE470" s="25" cm="1">
        <f t="array" ref="BE470">MMULT($D470:$G470,BE$459:BE$462)</f>
        <v>6.7603206145175995E-2</v>
      </c>
    </row>
    <row r="471" spans="4:57" x14ac:dyDescent="0.3">
      <c r="D471" s="5">
        <v>-7.57435802697215E-3</v>
      </c>
      <c r="E471" s="5">
        <v>1.3448855554118788E-2</v>
      </c>
      <c r="F471" s="5">
        <v>1.2821192052980157E-2</v>
      </c>
      <c r="G471" s="5">
        <v>0.13311688311688319</v>
      </c>
      <c r="H471" s="25" cm="1">
        <f t="array" ref="H471">MMULT($D471:$G471,H$459:H$462)</f>
        <v>3.7953143174252496E-2</v>
      </c>
      <c r="I471" s="25" cm="1">
        <f t="array" ref="I471">MMULT($D471:$G471,I$459:I$462)</f>
        <v>4.2278398383369144E-2</v>
      </c>
      <c r="J471" s="25" cm="1">
        <f t="array" ref="J471">MMULT($D471:$G471,J$459:J$462)</f>
        <v>2.1577466832312479E-2</v>
      </c>
      <c r="K471" s="25" cm="1">
        <f t="array" ref="K471">MMULT($D471:$G471,K$459:K$462)</f>
        <v>4.949207591403669E-2</v>
      </c>
      <c r="L471" s="25" cm="1">
        <f t="array" ref="L471">MMULT($D471:$G471,L$459:L$462)</f>
        <v>1.8453525994661515E-2</v>
      </c>
      <c r="M471" s="25" cm="1">
        <f t="array" ref="M471">MMULT($D471:$G471,M$459:M$462)</f>
        <v>3.7186738604971722E-2</v>
      </c>
      <c r="N471" s="25" cm="1">
        <f t="array" ref="N471">MMULT($D471:$G471,N$459:N$462)</f>
        <v>5.0408077514815616E-2</v>
      </c>
      <c r="O471" s="25" cm="1">
        <f t="array" ref="O471">MMULT($D471:$G471,O$459:O$462)</f>
        <v>3.5400122750630258E-2</v>
      </c>
      <c r="P471" s="25" cm="1">
        <f t="array" ref="P471">MMULT($D471:$G471,P$459:P$462)</f>
        <v>1.1554617574861474E-2</v>
      </c>
      <c r="Q471" s="25" cm="1">
        <f t="array" ref="Q471">MMULT($D471:$G471,Q$459:Q$462)</f>
        <v>2.0756762612072981E-2</v>
      </c>
      <c r="R471" s="25" cm="1">
        <f t="array" ref="R471">MMULT($D471:$G471,R$459:R$462)</f>
        <v>3.1955794448171967E-2</v>
      </c>
      <c r="S471" s="25" cm="1">
        <f t="array" ref="S471">MMULT($D471:$G471,S$459:S$462)</f>
        <v>8.5670353078298955E-2</v>
      </c>
      <c r="T471" s="25" cm="1">
        <f t="array" ref="T471">MMULT($D471:$G471,T$459:T$462)</f>
        <v>2.1424657903194391E-2</v>
      </c>
      <c r="U471" s="25" cm="1">
        <f t="array" ref="U471">MMULT($D471:$G471,U$459:U$462)</f>
        <v>2.5403016868700626E-3</v>
      </c>
      <c r="V471" s="25" cm="1">
        <f t="array" ref="V471">MMULT($D471:$G471,V$459:V$462)</f>
        <v>5.3811904548230843E-2</v>
      </c>
      <c r="W471" s="25" cm="1">
        <f t="array" ref="W471">MMULT($D471:$G471,W$459:W$462)</f>
        <v>1.0992931094621456E-2</v>
      </c>
      <c r="X471" s="25" cm="1">
        <f t="array" ref="X471">MMULT($D471:$G471,X$459:X$462)</f>
        <v>1.9282393365412955E-2</v>
      </c>
      <c r="Y471" s="25" cm="1">
        <f t="array" ref="Y471">MMULT($D471:$G471,Y$459:Y$462)</f>
        <v>3.4250765557728664E-2</v>
      </c>
      <c r="Z471" s="25" cm="1">
        <f t="array" ref="Z471">MMULT($D471:$G471,Z$459:Z$462)</f>
        <v>2.1670981690295028E-2</v>
      </c>
      <c r="AA471" s="25" cm="1">
        <f t="array" ref="AA471">MMULT($D471:$G471,AA$459:AA$462)</f>
        <v>7.1788251232847294E-2</v>
      </c>
      <c r="AB471" s="25" cm="1">
        <f t="array" ref="AB471">MMULT($D471:$G471,AB$459:AB$462)</f>
        <v>7.0946852617651754E-2</v>
      </c>
      <c r="AC471" s="25" cm="1">
        <f t="array" ref="AC471">MMULT($D471:$G471,AC$459:AC$462)</f>
        <v>4.8294511956284099E-2</v>
      </c>
      <c r="AD471" s="25" cm="1">
        <f t="array" ref="AD471">MMULT($D471:$G471,AD$459:AD$462)</f>
        <v>8.1988126769378666E-2</v>
      </c>
      <c r="AE471" s="25" cm="1">
        <f t="array" ref="AE471">MMULT($D471:$G471,AE$459:AE$462)</f>
        <v>4.0331887156810096E-2</v>
      </c>
      <c r="AF471" s="25" cm="1">
        <f t="array" ref="AF471">MMULT($D471:$G471,AF$459:AF$462)</f>
        <v>4.3451141070092805E-2</v>
      </c>
      <c r="AG471" s="25" cm="1">
        <f t="array" ref="AG471">MMULT($D471:$G471,AG$459:AG$462)</f>
        <v>2.7119270687817696E-2</v>
      </c>
      <c r="AH471" s="25" cm="1">
        <f t="array" ref="AH471">MMULT($D471:$G471,AH$459:AH$462)</f>
        <v>7.4458287717666244E-3</v>
      </c>
      <c r="AI471" s="25" cm="1">
        <f t="array" ref="AI471">MMULT($D471:$G471,AI$459:AI$462)</f>
        <v>1.0606915027221249E-2</v>
      </c>
      <c r="AJ471" s="25" cm="1">
        <f t="array" ref="AJ471">MMULT($D471:$G471,AJ$459:AJ$462)</f>
        <v>3.5476168987859796E-2</v>
      </c>
      <c r="AK471" s="25" cm="1">
        <f t="array" ref="AK471">MMULT($D471:$G471,AK$459:AK$462)</f>
        <v>2.2287068703044748E-2</v>
      </c>
      <c r="AL471" s="25" cm="1">
        <f t="array" ref="AL471">MMULT($D471:$G471,AL$459:AL$462)</f>
        <v>4.370987627677252E-3</v>
      </c>
      <c r="AM471" s="25" cm="1">
        <f t="array" ref="AM471">MMULT($D471:$G471,AM$459:AM$462)</f>
        <v>4.8333029090853089E-2</v>
      </c>
      <c r="AN471" s="25" cm="1">
        <f t="array" ref="AN471">MMULT($D471:$G471,AN$459:AN$462)</f>
        <v>6.1913341304875941E-2</v>
      </c>
      <c r="AO471" s="25" cm="1">
        <f t="array" ref="AO471">MMULT($D471:$G471,AO$459:AO$462)</f>
        <v>6.8977783878703625E-2</v>
      </c>
      <c r="AP471" s="25" cm="1">
        <f t="array" ref="AP471">MMULT($D471:$G471,AP$459:AP$462)</f>
        <v>1.5763144131363115E-2</v>
      </c>
      <c r="AQ471" s="25" cm="1">
        <f t="array" ref="AQ471">MMULT($D471:$G471,AQ$459:AQ$462)</f>
        <v>5.2444648355027615E-2</v>
      </c>
      <c r="AR471" s="25" cm="1">
        <f t="array" ref="AR471">MMULT($D471:$G471,AR$459:AR$462)</f>
        <v>1.0872283476361117E-2</v>
      </c>
      <c r="AS471" s="25" cm="1">
        <f t="array" ref="AS471">MMULT($D471:$G471,AS$459:AS$462)</f>
        <v>5.4049647185072366E-2</v>
      </c>
      <c r="AT471" s="25" cm="1">
        <f t="array" ref="AT471">MMULT($D471:$G471,AT$459:AT$462)</f>
        <v>5.6426966531304912E-2</v>
      </c>
      <c r="AU471" s="25" cm="1">
        <f t="array" ref="AU471">MMULT($D471:$G471,AU$459:AU$462)</f>
        <v>4.7738870615725904E-2</v>
      </c>
      <c r="AV471" s="25" cm="1">
        <f t="array" ref="AV471">MMULT($D471:$G471,AV$459:AV$462)</f>
        <v>4.8424088243044526E-2</v>
      </c>
      <c r="AW471" s="25" cm="1">
        <f t="array" ref="AW471">MMULT($D471:$G471,AW$459:AW$462)</f>
        <v>1.7478748481657116E-2</v>
      </c>
      <c r="AX471" s="25" cm="1">
        <f t="array" ref="AX471">MMULT($D471:$G471,AX$459:AX$462)</f>
        <v>7.194583651021183E-2</v>
      </c>
      <c r="AY471" s="25" cm="1">
        <f t="array" ref="AY471">MMULT($D471:$G471,AY$459:AY$462)</f>
        <v>4.7916959810565686E-2</v>
      </c>
      <c r="AZ471" s="25" cm="1">
        <f t="array" ref="AZ471">MMULT($D471:$G471,AZ$459:AZ$462)</f>
        <v>2.6994198019169212E-2</v>
      </c>
      <c r="BA471" s="25" cm="1">
        <f t="array" ref="BA471">MMULT($D471:$G471,BA$459:BA$462)</f>
        <v>7.0808948814637618E-2</v>
      </c>
      <c r="BB471" s="25" cm="1">
        <f t="array" ref="BB471">MMULT($D471:$G471,BB$459:BB$462)</f>
        <v>1.6390913927103259E-2</v>
      </c>
      <c r="BC471" s="25" cm="1">
        <f t="array" ref="BC471">MMULT($D471:$G471,BC$459:BC$462)</f>
        <v>7.7905300718815157E-2</v>
      </c>
      <c r="BD471" s="25" cm="1">
        <f t="array" ref="BD471">MMULT($D471:$G471,BD$459:BD$462)</f>
        <v>3.8128303056838862E-2</v>
      </c>
      <c r="BE471" s="25" cm="1">
        <f t="array" ref="BE471">MMULT($D471:$G471,BE$459:BE$462)</f>
        <v>6.1236232386455161E-2</v>
      </c>
    </row>
    <row r="472" spans="4:57" x14ac:dyDescent="0.3">
      <c r="D472" s="5">
        <v>5.7281140304222822E-2</v>
      </c>
      <c r="E472" s="5">
        <v>1.3780783463059887E-2</v>
      </c>
      <c r="F472" s="5">
        <v>-1.4228173876654315E-2</v>
      </c>
      <c r="G472" s="5">
        <v>5.7306590257879542E-3</v>
      </c>
      <c r="H472" s="25" cm="1">
        <f t="array" ref="H472">MMULT($D472:$G472,H$459:H$462)</f>
        <v>1.5641102229104087E-2</v>
      </c>
      <c r="I472" s="25" cm="1">
        <f t="array" ref="I472">MMULT($D472:$G472,I$459:I$462)</f>
        <v>9.94048405176182E-3</v>
      </c>
      <c r="J472" s="25" cm="1">
        <f t="array" ref="J472">MMULT($D472:$G472,J$459:J$462)</f>
        <v>1.2076034861565129E-2</v>
      </c>
      <c r="K472" s="25" cm="1">
        <f t="array" ref="K472">MMULT($D472:$G472,K$459:K$462)</f>
        <v>9.2844365664278301E-3</v>
      </c>
      <c r="L472" s="25" cm="1">
        <f t="array" ref="L472">MMULT($D472:$G472,L$459:L$462)</f>
        <v>3.3071084029884769E-2</v>
      </c>
      <c r="M472" s="25" cm="1">
        <f t="array" ref="M472">MMULT($D472:$G472,M$459:M$462)</f>
        <v>3.3891861094260206E-2</v>
      </c>
      <c r="N472" s="25" cm="1">
        <f t="array" ref="N472">MMULT($D472:$G472,N$459:N$462)</f>
        <v>1.9836147083054707E-2</v>
      </c>
      <c r="O472" s="25" cm="1">
        <f t="array" ref="O472">MMULT($D472:$G472,O$459:O$462)</f>
        <v>-2.4808669829204915E-3</v>
      </c>
      <c r="P472" s="25" cm="1">
        <f t="array" ref="P472">MMULT($D472:$G472,P$459:P$462)</f>
        <v>1.9715997984141559E-2</v>
      </c>
      <c r="Q472" s="25" cm="1">
        <f t="array" ref="Q472">MMULT($D472:$G472,Q$459:Q$462)</f>
        <v>1.0872071268392534E-2</v>
      </c>
      <c r="R472" s="25" cm="1">
        <f t="array" ref="R472">MMULT($D472:$G472,R$459:R$462)</f>
        <v>3.0840137669766312E-2</v>
      </c>
      <c r="S472" s="25" cm="1">
        <f t="array" ref="S472">MMULT($D472:$G472,S$459:S$462)</f>
        <v>1.0763632066830557E-2</v>
      </c>
      <c r="T472" s="25" cm="1">
        <f t="array" ref="T472">MMULT($D472:$G472,T$459:T$462)</f>
        <v>1.8436158961850281E-2</v>
      </c>
      <c r="U472" s="25" cm="1">
        <f t="array" ref="U472">MMULT($D472:$G472,U$459:U$462)</f>
        <v>3.677961394254263E-2</v>
      </c>
      <c r="V472" s="25" cm="1">
        <f t="array" ref="V472">MMULT($D472:$G472,V$459:V$462)</f>
        <v>1.3520242118279334E-2</v>
      </c>
      <c r="W472" s="25" cm="1">
        <f t="array" ref="W472">MMULT($D472:$G472,W$459:W$462)</f>
        <v>1.5202839067949803E-2</v>
      </c>
      <c r="X472" s="25" cm="1">
        <f t="array" ref="X472">MMULT($D472:$G472,X$459:X$462)</f>
        <v>2.1213349342677395E-3</v>
      </c>
      <c r="Y472" s="25" cm="1">
        <f t="array" ref="Y472">MMULT($D472:$G472,Y$459:Y$462)</f>
        <v>8.2138338463038103E-3</v>
      </c>
      <c r="Z472" s="25" cm="1">
        <f t="array" ref="Z472">MMULT($D472:$G472,Z$459:Z$462)</f>
        <v>3.2264212870124341E-2</v>
      </c>
      <c r="AA472" s="25" cm="1">
        <f t="array" ref="AA472">MMULT($D472:$G472,AA$459:AA$462)</f>
        <v>1.9316706188989882E-2</v>
      </c>
      <c r="AB472" s="25" cm="1">
        <f t="array" ref="AB472">MMULT($D472:$G472,AB$459:AB$462)</f>
        <v>9.0019287906534084E-3</v>
      </c>
      <c r="AC472" s="25" cm="1">
        <f t="array" ref="AC472">MMULT($D472:$G472,AC$459:AC$462)</f>
        <v>4.1074783126856911E-3</v>
      </c>
      <c r="AD472" s="25" cm="1">
        <f t="array" ref="AD472">MMULT($D472:$G472,AD$459:AD$462)</f>
        <v>1.9293935430475116E-2</v>
      </c>
      <c r="AE472" s="25" cm="1">
        <f t="array" ref="AE472">MMULT($D472:$G472,AE$459:AE$462)</f>
        <v>2.4704725966771323E-2</v>
      </c>
      <c r="AF472" s="25" cm="1">
        <f t="array" ref="AF472">MMULT($D472:$G472,AF$459:AF$462)</f>
        <v>-8.2503322260509058E-4</v>
      </c>
      <c r="AG472" s="25" cm="1">
        <f t="array" ref="AG472">MMULT($D472:$G472,AG$459:AG$462)</f>
        <v>3.7239780028682057E-2</v>
      </c>
      <c r="AH472" s="25" cm="1">
        <f t="array" ref="AH472">MMULT($D472:$G472,AH$459:AH$462)</f>
        <v>3.0860405039859779E-2</v>
      </c>
      <c r="AI472" s="25" cm="1">
        <f t="array" ref="AI472">MMULT($D472:$G472,AI$459:AI$462)</f>
        <v>4.1319139081212417E-2</v>
      </c>
      <c r="AJ472" s="25" cm="1">
        <f t="array" ref="AJ472">MMULT($D472:$G472,AJ$459:AJ$462)</f>
        <v>9.9372283952052255E-3</v>
      </c>
      <c r="AK472" s="25" cm="1">
        <f t="array" ref="AK472">MMULT($D472:$G472,AK$459:AK$462)</f>
        <v>3.1746227147580616E-2</v>
      </c>
      <c r="AL472" s="25" cm="1">
        <f t="array" ref="AL472">MMULT($D472:$G472,AL$459:AL$462)</f>
        <v>4.1352722848271191E-2</v>
      </c>
      <c r="AM472" s="25" cm="1">
        <f t="array" ref="AM472">MMULT($D472:$G472,AM$459:AM$462)</f>
        <v>8.135940383649105E-3</v>
      </c>
      <c r="AN472" s="25" cm="1">
        <f t="array" ref="AN472">MMULT($D472:$G472,AN$459:AN$462)</f>
        <v>9.8861260809694814E-3</v>
      </c>
      <c r="AO472" s="25" cm="1">
        <f t="array" ref="AO472">MMULT($D472:$G472,AO$459:AO$462)</f>
        <v>1.4213774727291201E-2</v>
      </c>
      <c r="AP472" s="25" cm="1">
        <f t="array" ref="AP472">MMULT($D472:$G472,AP$459:AP$462)</f>
        <v>4.1951785504423409E-3</v>
      </c>
      <c r="AQ472" s="25" cm="1">
        <f t="array" ref="AQ472">MMULT($D472:$G472,AQ$459:AQ$462)</f>
        <v>1.2915787948002548E-2</v>
      </c>
      <c r="AR472" s="25" cm="1">
        <f t="array" ref="AR472">MMULT($D472:$G472,AR$459:AR$462)</f>
        <v>6.73793454847086E-3</v>
      </c>
      <c r="AS472" s="25" cm="1">
        <f t="array" ref="AS472">MMULT($D472:$G472,AS$459:AS$462)</f>
        <v>2.9354601369040632E-2</v>
      </c>
      <c r="AT472" s="25" cm="1">
        <f t="array" ref="AT472">MMULT($D472:$G472,AT$459:AT$462)</f>
        <v>4.3328688235040368E-3</v>
      </c>
      <c r="AU472" s="25" cm="1">
        <f t="array" ref="AU472">MMULT($D472:$G472,AU$459:AU$462)</f>
        <v>1.5481010863561443E-2</v>
      </c>
      <c r="AV472" s="25" cm="1">
        <f t="array" ref="AV472">MMULT($D472:$G472,AV$459:AV$462)</f>
        <v>2.0794916476398327E-2</v>
      </c>
      <c r="AW472" s="25" cm="1">
        <f t="array" ref="AW472">MMULT($D472:$G472,AW$459:AW$462)</f>
        <v>7.6562943975899802E-3</v>
      </c>
      <c r="AX472" s="25" cm="1">
        <f t="array" ref="AX472">MMULT($D472:$G472,AX$459:AX$462)</f>
        <v>1.2427161609920939E-2</v>
      </c>
      <c r="AY472" s="25" cm="1">
        <f t="array" ref="AY472">MMULT($D472:$G472,AY$459:AY$462)</f>
        <v>1.4956039866585362E-2</v>
      </c>
      <c r="AZ472" s="25" cm="1">
        <f t="array" ref="AZ472">MMULT($D472:$G472,AZ$459:AZ$462)</f>
        <v>3.2449143268537518E-2</v>
      </c>
      <c r="BA472" s="25" cm="1">
        <f t="array" ref="BA472">MMULT($D472:$G472,BA$459:BA$462)</f>
        <v>1.5808313360849695E-2</v>
      </c>
      <c r="BB472" s="25" cm="1">
        <f t="array" ref="BB472">MMULT($D472:$G472,BB$459:BB$462)</f>
        <v>3.8438958299653867E-3</v>
      </c>
      <c r="BC472" s="25" cm="1">
        <f t="array" ref="BC472">MMULT($D472:$G472,BC$459:BC$462)</f>
        <v>1.4799676883020125E-2</v>
      </c>
      <c r="BD472" s="25" cm="1">
        <f t="array" ref="BD472">MMULT($D472:$G472,BD$459:BD$462)</f>
        <v>-6.193767796210255E-3</v>
      </c>
      <c r="BE472" s="25" cm="1">
        <f t="array" ref="BE472">MMULT($D472:$G472,BE$459:BE$462)</f>
        <v>8.5130116282003919E-3</v>
      </c>
    </row>
    <row r="473" spans="4:57" x14ac:dyDescent="0.3">
      <c r="D473" s="5">
        <v>4.0394386035514929E-2</v>
      </c>
      <c r="E473" s="5">
        <v>1.5607300188797968E-2</v>
      </c>
      <c r="F473" s="5">
        <v>4.5635447068188562E-3</v>
      </c>
      <c r="G473" s="5">
        <v>4.5584045584045718E-2</v>
      </c>
      <c r="H473" s="25" cm="1">
        <f t="array" ref="H473">MMULT($D473:$G473,H$459:H$462)</f>
        <v>2.6537319128794368E-2</v>
      </c>
      <c r="I473" s="25" cm="1">
        <f t="array" ref="I473">MMULT($D473:$G473,I$459:I$462)</f>
        <v>2.3643354933030235E-2</v>
      </c>
      <c r="J473" s="25" cm="1">
        <f t="array" ref="J473">MMULT($D473:$G473,J$459:J$462)</f>
        <v>1.88518117551894E-2</v>
      </c>
      <c r="K473" s="25" cm="1">
        <f t="array" ref="K473">MMULT($D473:$G473,K$459:K$462)</f>
        <v>2.6611251798764925E-2</v>
      </c>
      <c r="L473" s="25" cm="1">
        <f t="array" ref="L473">MMULT($D473:$G473,L$459:L$462)</f>
        <v>3.174430365531232E-2</v>
      </c>
      <c r="M473" s="25" cm="1">
        <f t="array" ref="M473">MMULT($D473:$G473,M$459:M$462)</f>
        <v>3.7209360127845148E-2</v>
      </c>
      <c r="N473" s="25" cm="1">
        <f t="array" ref="N473">MMULT($D473:$G473,N$459:N$462)</f>
        <v>3.1752654401987039E-2</v>
      </c>
      <c r="O473" s="25" cm="1">
        <f t="array" ref="O473">MMULT($D473:$G473,O$459:O$462)</f>
        <v>1.5405652964040509E-2</v>
      </c>
      <c r="P473" s="25" cm="1">
        <f t="array" ref="P473">MMULT($D473:$G473,P$459:P$462)</f>
        <v>2.3199161410105976E-2</v>
      </c>
      <c r="Q473" s="25" cm="1">
        <f t="array" ref="Q473">MMULT($D473:$G473,Q$459:Q$462)</f>
        <v>1.8786550992845069E-2</v>
      </c>
      <c r="R473" s="25" cm="1">
        <f t="array" ref="R473">MMULT($D473:$G473,R$459:R$462)</f>
        <v>3.4100423936778687E-2</v>
      </c>
      <c r="S473" s="25" cm="1">
        <f t="array" ref="S473">MMULT($D473:$G473,S$459:S$462)</f>
        <v>3.6428356017944447E-2</v>
      </c>
      <c r="T473" s="25" cm="1">
        <f t="array" ref="T473">MMULT($D473:$G473,T$459:T$462)</f>
        <v>2.3501956229338494E-2</v>
      </c>
      <c r="U473" s="25" cm="1">
        <f t="array" ref="U473">MMULT($D473:$G473,U$459:U$462)</f>
        <v>2.986294556379758E-2</v>
      </c>
      <c r="V473" s="25" cm="1">
        <f t="array" ref="V473">MMULT($D473:$G473,V$459:V$462)</f>
        <v>2.9116685762172509E-2</v>
      </c>
      <c r="W473" s="25" cm="1">
        <f t="array" ref="W473">MMULT($D473:$G473,W$459:W$462)</f>
        <v>1.8823053963029846E-2</v>
      </c>
      <c r="X473" s="25" cm="1">
        <f t="array" ref="X473">MMULT($D473:$G473,X$459:X$462)</f>
        <v>1.4726904456526566E-2</v>
      </c>
      <c r="Y473" s="25" cm="1">
        <f t="array" ref="Y473">MMULT($D473:$G473,Y$459:Y$462)</f>
        <v>1.9932938222963496E-2</v>
      </c>
      <c r="Z473" s="25" cm="1">
        <f t="array" ref="Z473">MMULT($D473:$G473,Z$459:Z$462)</f>
        <v>3.2891305827389486E-2</v>
      </c>
      <c r="AA473" s="25" cm="1">
        <f t="array" ref="AA473">MMULT($D473:$G473,AA$459:AA$462)</f>
        <v>3.7427153136443285E-2</v>
      </c>
      <c r="AB473" s="25" cm="1">
        <f t="array" ref="AB473">MMULT($D473:$G473,AB$459:AB$462)</f>
        <v>3.1039695256437336E-2</v>
      </c>
      <c r="AC473" s="25" cm="1">
        <f t="array" ref="AC473">MMULT($D473:$G473,AC$459:AC$462)</f>
        <v>2.3207409049733618E-2</v>
      </c>
      <c r="AD473" s="25" cm="1">
        <f t="array" ref="AD473">MMULT($D473:$G473,AD$459:AD$462)</f>
        <v>4.0265596299648689E-2</v>
      </c>
      <c r="AE473" s="25" cm="1">
        <f t="array" ref="AE473">MMULT($D473:$G473,AE$459:AE$462)</f>
        <v>3.2763866618150186E-2</v>
      </c>
      <c r="AF473" s="25" cm="1">
        <f t="array" ref="AF473">MMULT($D473:$G473,AF$459:AF$462)</f>
        <v>1.9695118758275884E-2</v>
      </c>
      <c r="AG473" s="25" cm="1">
        <f t="array" ref="AG473">MMULT($D473:$G473,AG$459:AG$462)</f>
        <v>3.6829567118343308E-2</v>
      </c>
      <c r="AH473" s="25" cm="1">
        <f t="array" ref="AH473">MMULT($D473:$G473,AH$459:AH$462)</f>
        <v>2.783977173660826E-2</v>
      </c>
      <c r="AI473" s="25" cm="1">
        <f t="array" ref="AI473">MMULT($D473:$G473,AI$459:AI$462)</f>
        <v>3.5024077599990142E-2</v>
      </c>
      <c r="AJ473" s="25" cm="1">
        <f t="array" ref="AJ473">MMULT($D473:$G473,AJ$459:AJ$462)</f>
        <v>2.2143768963670592E-2</v>
      </c>
      <c r="AK473" s="25" cm="1">
        <f t="array" ref="AK473">MMULT($D473:$G473,AK$459:AK$462)</f>
        <v>3.2201496306451922E-2</v>
      </c>
      <c r="AL473" s="25" cm="1">
        <f t="array" ref="AL473">MMULT($D473:$G473,AL$459:AL$462)</f>
        <v>3.344260351302826E-2</v>
      </c>
      <c r="AM473" s="25" cm="1">
        <f t="array" ref="AM473">MMULT($D473:$G473,AM$459:AM$462)</f>
        <v>2.5932499997892315E-2</v>
      </c>
      <c r="AN473" s="25" cm="1">
        <f t="array" ref="AN473">MMULT($D473:$G473,AN$459:AN$462)</f>
        <v>2.9481744116181201E-2</v>
      </c>
      <c r="AO473" s="25" cm="1">
        <f t="array" ref="AO473">MMULT($D473:$G473,AO$459:AO$462)</f>
        <v>3.3120927833925409E-2</v>
      </c>
      <c r="AP473" s="25" cm="1">
        <f t="array" ref="AP473">MMULT($D473:$G473,AP$459:AP$462)</f>
        <v>1.4964415328126243E-2</v>
      </c>
      <c r="AQ473" s="25" cm="1">
        <f t="array" ref="AQ473">MMULT($D473:$G473,AQ$459:AQ$462)</f>
        <v>2.9621312263470298E-2</v>
      </c>
      <c r="AR473" s="25" cm="1">
        <f t="array" ref="AR473">MMULT($D473:$G473,AR$459:AR$462)</f>
        <v>1.5638958062375415E-2</v>
      </c>
      <c r="AS473" s="25" cm="1">
        <f t="array" ref="AS473">MMULT($D473:$G473,AS$459:AS$462)</f>
        <v>3.9224064337939291E-2</v>
      </c>
      <c r="AT473" s="25" cm="1">
        <f t="array" ref="AT473">MMULT($D473:$G473,AT$459:AT$462)</f>
        <v>2.4420245371131296E-2</v>
      </c>
      <c r="AU473" s="25" cm="1">
        <f t="array" ref="AU473">MMULT($D473:$G473,AU$459:AU$462)</f>
        <v>2.7610918339426336E-2</v>
      </c>
      <c r="AV473" s="25" cm="1">
        <f t="array" ref="AV473">MMULT($D473:$G473,AV$459:AV$462)</f>
        <v>3.1300977943135681E-2</v>
      </c>
      <c r="AW473" s="25" cm="1">
        <f t="array" ref="AW473">MMULT($D473:$G473,AW$459:AW$462)</f>
        <v>1.4700901235618506E-2</v>
      </c>
      <c r="AX473" s="25" cm="1">
        <f t="array" ref="AX473">MMULT($D473:$G473,AX$459:AX$462)</f>
        <v>3.2147081262812231E-2</v>
      </c>
      <c r="AY473" s="25" cm="1">
        <f t="array" ref="AY473">MMULT($D473:$G473,AY$459:AY$462)</f>
        <v>2.7142056676704461E-2</v>
      </c>
      <c r="AZ473" s="25" cm="1">
        <f t="array" ref="AZ473">MMULT($D473:$G473,AZ$459:AZ$462)</f>
        <v>3.4090585719513268E-2</v>
      </c>
      <c r="BA473" s="25" cm="1">
        <f t="array" ref="BA473">MMULT($D473:$G473,BA$459:BA$462)</f>
        <v>3.5799692862137078E-2</v>
      </c>
      <c r="BB473" s="25" cm="1">
        <f t="array" ref="BB473">MMULT($D473:$G473,BB$459:BB$462)</f>
        <v>1.3450451756268855E-2</v>
      </c>
      <c r="BC473" s="25" cm="1">
        <f t="array" ref="BC473">MMULT($D473:$G473,BC$459:BC$462)</f>
        <v>3.6740610236519783E-2</v>
      </c>
      <c r="BD473" s="25" cm="1">
        <f t="array" ref="BD473">MMULT($D473:$G473,BD$459:BD$462)</f>
        <v>1.4974395514311237E-2</v>
      </c>
      <c r="BE473" s="25" cm="1">
        <f t="array" ref="BE473">MMULT($D473:$G473,BE$459:BE$462)</f>
        <v>2.8591050581609108E-2</v>
      </c>
    </row>
    <row r="474" spans="4:57" x14ac:dyDescent="0.3">
      <c r="D474" s="5">
        <v>1.7116333043226017E-2</v>
      </c>
      <c r="E474" s="5">
        <v>-1.976700954269428E-2</v>
      </c>
      <c r="F474" s="5">
        <v>8.6683218002218565E-2</v>
      </c>
      <c r="G474" s="5">
        <v>8.1743869209809361E-3</v>
      </c>
      <c r="H474" s="25" cm="1">
        <f t="array" ref="H474">MMULT($D474:$G474,H$459:H$462)</f>
        <v>2.305173210593281E-2</v>
      </c>
      <c r="I474" s="25" cm="1">
        <f t="array" ref="I474">MMULT($D474:$G474,I$459:I$462)</f>
        <v>1.7007160261881676E-2</v>
      </c>
      <c r="J474" s="25" cm="1">
        <f t="array" ref="J474">MMULT($D474:$G474,J$459:J$462)</f>
        <v>1.0903956841063643E-2</v>
      </c>
      <c r="K474" s="25" cm="1">
        <f t="array" ref="K474">MMULT($D474:$G474,K$459:K$462)</f>
        <v>3.7383157364555469E-2</v>
      </c>
      <c r="L474" s="25" cm="1">
        <f t="array" ref="L474">MMULT($D474:$G474,L$459:L$462)</f>
        <v>1.3651475801356946E-2</v>
      </c>
      <c r="M474" s="25" cm="1">
        <f t="array" ref="M474">MMULT($D474:$G474,M$459:M$462)</f>
        <v>9.5999367117857708E-3</v>
      </c>
      <c r="N474" s="25" cm="1">
        <f t="array" ref="N474">MMULT($D474:$G474,N$459:N$462)</f>
        <v>8.9243377539698406E-3</v>
      </c>
      <c r="O474" s="25" cm="1">
        <f t="array" ref="O474">MMULT($D474:$G474,O$459:O$462)</f>
        <v>4.2094717266189824E-2</v>
      </c>
      <c r="P474" s="25" cm="1">
        <f t="array" ref="P474">MMULT($D474:$G474,P$459:P$462)</f>
        <v>4.3179412339499491E-2</v>
      </c>
      <c r="Q474" s="25" cm="1">
        <f t="array" ref="Q474">MMULT($D474:$G474,Q$459:Q$462)</f>
        <v>2.4745443265961471E-2</v>
      </c>
      <c r="R474" s="25" cm="1">
        <f t="array" ref="R474">MMULT($D474:$G474,R$459:R$462)</f>
        <v>1.42895369117047E-2</v>
      </c>
      <c r="S474" s="25" cm="1">
        <f t="array" ref="S474">MMULT($D474:$G474,S$459:S$462)</f>
        <v>1.9726381868003413E-2</v>
      </c>
      <c r="T474" s="25" cm="1">
        <f t="array" ref="T474">MMULT($D474:$G474,T$459:T$462)</f>
        <v>1.9438672387029041E-2</v>
      </c>
      <c r="U474" s="25" cm="1">
        <f t="array" ref="U474">MMULT($D474:$G474,U$459:U$462)</f>
        <v>1.5806104205218031E-2</v>
      </c>
      <c r="V474" s="25" cm="1">
        <f t="array" ref="V474">MMULT($D474:$G474,V$459:V$462)</f>
        <v>1.6289836255659388E-2</v>
      </c>
      <c r="W474" s="25" cm="1">
        <f t="array" ref="W474">MMULT($D474:$G474,W$459:W$462)</f>
        <v>2.4037830313149836E-2</v>
      </c>
      <c r="X474" s="25" cm="1">
        <f t="array" ref="X474">MMULT($D474:$G474,X$459:X$462)</f>
        <v>5.4271960460712323E-2</v>
      </c>
      <c r="Y474" s="25" cm="1">
        <f t="array" ref="Y474">MMULT($D474:$G474,Y$459:Y$462)</f>
        <v>1.1692678016418115E-2</v>
      </c>
      <c r="Z474" s="25" cm="1">
        <f t="array" ref="Z474">MMULT($D474:$G474,Z$459:Z$462)</f>
        <v>2.502962195413035E-2</v>
      </c>
      <c r="AA474" s="25" cm="1">
        <f t="array" ref="AA474">MMULT($D474:$G474,AA$459:AA$462)</f>
        <v>9.8690101101310199E-3</v>
      </c>
      <c r="AB474" s="25" cm="1">
        <f t="array" ref="AB474">MMULT($D474:$G474,AB$459:AB$462)</f>
        <v>1.7449868472890859E-2</v>
      </c>
      <c r="AC474" s="25" cm="1">
        <f t="array" ref="AC474">MMULT($D474:$G474,AC$459:AC$462)</f>
        <v>4.1446982648732887E-2</v>
      </c>
      <c r="AD474" s="25" cm="1">
        <f t="array" ref="AD474">MMULT($D474:$G474,AD$459:AD$462)</f>
        <v>1.0110908123577053E-2</v>
      </c>
      <c r="AE474" s="25" cm="1">
        <f t="array" ref="AE474">MMULT($D474:$G474,AE$459:AE$462)</f>
        <v>1.8712453825283658E-2</v>
      </c>
      <c r="AF474" s="25" cm="1">
        <f t="array" ref="AF474">MMULT($D474:$G474,AF$459:AF$462)</f>
        <v>5.6500446562591018E-2</v>
      </c>
      <c r="AG474" s="25" cm="1">
        <f t="array" ref="AG474">MMULT($D474:$G474,AG$459:AG$462)</f>
        <v>1.3356314593126065E-2</v>
      </c>
      <c r="AH474" s="25" cm="1">
        <f t="array" ref="AH474">MMULT($D474:$G474,AH$459:AH$462)</f>
        <v>2.2269844763792686E-2</v>
      </c>
      <c r="AI474" s="25" cm="1">
        <f t="array" ref="AI474">MMULT($D474:$G474,AI$459:AI$462)</f>
        <v>1.5551133471371742E-2</v>
      </c>
      <c r="AJ474" s="25" cm="1">
        <f t="array" ref="AJ474">MMULT($D474:$G474,AJ$459:AJ$462)</f>
        <v>2.2804559909339137E-2</v>
      </c>
      <c r="AK474" s="25" cm="1">
        <f t="array" ref="AK474">MMULT($D474:$G474,AK$459:AK$462)</f>
        <v>1.7292310240810356E-2</v>
      </c>
      <c r="AL474" s="25" cm="1">
        <f t="array" ref="AL474">MMULT($D474:$G474,AL$459:AL$462)</f>
        <v>1.7478704343892128E-2</v>
      </c>
      <c r="AM474" s="25" cm="1">
        <f t="array" ref="AM474">MMULT($D474:$G474,AM$459:AM$462)</f>
        <v>4.3060787536466319E-2</v>
      </c>
      <c r="AN474" s="25" cm="1">
        <f t="array" ref="AN474">MMULT($D474:$G474,AN$459:AN$462)</f>
        <v>2.3076659132393283E-2</v>
      </c>
      <c r="AO474" s="25" cm="1">
        <f t="array" ref="AO474">MMULT($D474:$G474,AO$459:AO$462)</f>
        <v>6.5567609412294243E-3</v>
      </c>
      <c r="AP474" s="25" cm="1">
        <f t="array" ref="AP474">MMULT($D474:$G474,AP$459:AP$462)</f>
        <v>5.2440082438165336E-2</v>
      </c>
      <c r="AQ474" s="25" cm="1">
        <f t="array" ref="AQ474">MMULT($D474:$G474,AQ$459:AQ$462)</f>
        <v>3.5046122416800933E-2</v>
      </c>
      <c r="AR474" s="25" cm="1">
        <f t="array" ref="AR474">MMULT($D474:$G474,AR$459:AR$462)</f>
        <v>5.818483896111383E-2</v>
      </c>
      <c r="AS474" s="25" cm="1">
        <f t="array" ref="AS474">MMULT($D474:$G474,AS$459:AS$462)</f>
        <v>1.3400634329824423E-2</v>
      </c>
      <c r="AT474" s="25" cm="1">
        <f t="array" ref="AT474">MMULT($D474:$G474,AT$459:AT$462)</f>
        <v>2.3882530993401055E-2</v>
      </c>
      <c r="AU474" s="25" cm="1">
        <f t="array" ref="AU474">MMULT($D474:$G474,AU$459:AU$462)</f>
        <v>3.4424635352750966E-4</v>
      </c>
      <c r="AV474" s="25" cm="1">
        <f t="array" ref="AV474">MMULT($D474:$G474,AV$459:AV$462)</f>
        <v>1.2817889390148341E-3</v>
      </c>
      <c r="AW474" s="25" cm="1">
        <f t="array" ref="AW474">MMULT($D474:$G474,AW$459:AW$462)</f>
        <v>8.6484577346569412E-3</v>
      </c>
      <c r="AX474" s="25" cm="1">
        <f t="array" ref="AX474">MMULT($D474:$G474,AX$459:AX$462)</f>
        <v>-2.9141983469944122E-3</v>
      </c>
      <c r="AY474" s="25" cm="1">
        <f t="array" ref="AY474">MMULT($D474:$G474,AY$459:AY$462)</f>
        <v>-2.2871021657907675E-3</v>
      </c>
      <c r="AZ474" s="25" cm="1">
        <f t="array" ref="AZ474">MMULT($D474:$G474,AZ$459:AZ$462)</f>
        <v>1.9137587303169629E-2</v>
      </c>
      <c r="BA474" s="25" cm="1">
        <f t="array" ref="BA474">MMULT($D474:$G474,BA$459:BA$462)</f>
        <v>2.329655468082719E-2</v>
      </c>
      <c r="BB474" s="25" cm="1">
        <f t="array" ref="BB474">MMULT($D474:$G474,BB$459:BB$462)</f>
        <v>3.0952868249263143E-2</v>
      </c>
      <c r="BC474" s="25" cm="1">
        <f t="array" ref="BC474">MMULT($D474:$G474,BC$459:BC$462)</f>
        <v>1.7701686563513341E-2</v>
      </c>
      <c r="BD474" s="25" cm="1">
        <f t="array" ref="BD474">MMULT($D474:$G474,BD$459:BD$462)</f>
        <v>5.9893875012527728E-2</v>
      </c>
      <c r="BE474" s="25" cm="1">
        <f t="array" ref="BE474">MMULT($D474:$G474,BE$459:BE$462)</f>
        <v>2.5802735904266398E-2</v>
      </c>
    </row>
    <row r="475" spans="4:57" x14ac:dyDescent="0.3">
      <c r="D475" s="5">
        <v>-7.4610192051720925E-2</v>
      </c>
      <c r="E475" s="5">
        <v>-8.597256463746128E-2</v>
      </c>
      <c r="F475" s="5">
        <v>2.9895002916585645E-2</v>
      </c>
      <c r="G475" s="5">
        <v>-7.2972972972973005E-2</v>
      </c>
      <c r="H475" s="25" cm="1">
        <f t="array" ref="H475">MMULT($D475:$G475,H$459:H$462)</f>
        <v>-5.0915181686392391E-2</v>
      </c>
      <c r="I475" s="25" cm="1">
        <f t="array" ref="I475">MMULT($D475:$G475,I$459:I$462)</f>
        <v>-5.3764091945495515E-2</v>
      </c>
      <c r="J475" s="25" cm="1">
        <f t="array" ref="J475">MMULT($D475:$G475,J$459:J$462)</f>
        <v>-5.7638793003360847E-2</v>
      </c>
      <c r="K475" s="25" cm="1">
        <f t="array" ref="K475">MMULT($D475:$G475,K$459:K$462)</f>
        <v>-3.5496161682942229E-2</v>
      </c>
      <c r="L475" s="25" cm="1">
        <f t="array" ref="L475">MMULT($D475:$G475,L$459:L$462)</f>
        <v>-6.7198973382850066E-2</v>
      </c>
      <c r="M475" s="25" cm="1">
        <f t="array" ref="M475">MMULT($D475:$G475,M$459:M$462)</f>
        <v>-7.424608302599045E-2</v>
      </c>
      <c r="N475" s="25" cm="1">
        <f t="array" ref="N475">MMULT($D475:$G475,N$459:N$462)</f>
        <v>-6.8419722430255694E-2</v>
      </c>
      <c r="O475" s="25" cm="1">
        <f t="array" ref="O475">MMULT($D475:$G475,O$459:O$462)</f>
        <v>-2.1968068353759349E-2</v>
      </c>
      <c r="P475" s="25" cm="1">
        <f t="array" ref="P475">MMULT($D475:$G475,P$459:P$462)</f>
        <v>-3.0711143840502671E-2</v>
      </c>
      <c r="Q475" s="25" cm="1">
        <f t="array" ref="Q475">MMULT($D475:$G475,Q$459:Q$462)</f>
        <v>-4.3923624142444322E-2</v>
      </c>
      <c r="R475" s="25" cm="1">
        <f t="array" ref="R475">MMULT($D475:$G475,R$459:R$462)</f>
        <v>-6.7278102266617554E-2</v>
      </c>
      <c r="S475" s="25" cm="1">
        <f t="array" ref="S475">MMULT($D475:$G475,S$459:S$462)</f>
        <v>-5.8185696185844155E-2</v>
      </c>
      <c r="T475" s="25" cm="1">
        <f t="array" ref="T475">MMULT($D475:$G475,T$459:T$462)</f>
        <v>-5.3490282997843003E-2</v>
      </c>
      <c r="U475" s="25" cm="1">
        <f t="array" ref="U475">MMULT($D475:$G475,U$459:U$462)</f>
        <v>-6.5049419776846723E-2</v>
      </c>
      <c r="V475" s="25" cm="1">
        <f t="array" ref="V475">MMULT($D475:$G475,V$459:V$462)</f>
        <v>-5.8292392855103833E-2</v>
      </c>
      <c r="W475" s="25" cm="1">
        <f t="array" ref="W475">MMULT($D475:$G475,W$459:W$462)</f>
        <v>-4.5723678102703905E-2</v>
      </c>
      <c r="X475" s="25" cm="1">
        <f t="array" ref="X475">MMULT($D475:$G475,X$459:X$462)</f>
        <v>-1.1003216220644207E-2</v>
      </c>
      <c r="Y475" s="25" cm="1">
        <f t="array" ref="Y475">MMULT($D475:$G475,Y$459:Y$462)</f>
        <v>-5.6477027211003797E-2</v>
      </c>
      <c r="Z475" s="25" cm="1">
        <f t="array" ref="Z475">MMULT($D475:$G475,Z$459:Z$462)</f>
        <v>-5.6613387701464346E-2</v>
      </c>
      <c r="AA475" s="25" cm="1">
        <f t="array" ref="AA475">MMULT($D475:$G475,AA$459:AA$462)</f>
        <v>-7.0411538726456668E-2</v>
      </c>
      <c r="AB475" s="25" cm="1">
        <f t="array" ref="AB475">MMULT($D475:$G475,AB$459:AB$462)</f>
        <v>-5.7056125563531318E-2</v>
      </c>
      <c r="AC475" s="25" cm="1">
        <f t="array" ref="AC475">MMULT($D475:$G475,AC$459:AC$462)</f>
        <v>-2.8436885793431507E-2</v>
      </c>
      <c r="AD475" s="25" cm="1">
        <f t="array" ref="AD475">MMULT($D475:$G475,AD$459:AD$462)</f>
        <v>-7.1690769458828255E-2</v>
      </c>
      <c r="AE475" s="25" cm="1">
        <f t="array" ref="AE475">MMULT($D475:$G475,AE$459:AE$462)</f>
        <v>-6.0735235637191562E-2</v>
      </c>
      <c r="AF475" s="25" cm="1">
        <f t="array" ref="AF475">MMULT($D475:$G475,AF$459:AF$462)</f>
        <v>-1.0761941703830142E-2</v>
      </c>
      <c r="AG475" s="25" cm="1">
        <f t="array" ref="AG475">MMULT($D475:$G475,AG$459:AG$462)</f>
        <v>-7.1260832329878857E-2</v>
      </c>
      <c r="AH475" s="25" cm="1">
        <f t="array" ref="AH475">MMULT($D475:$G475,AH$459:AH$462)</f>
        <v>-5.6221825385362315E-2</v>
      </c>
      <c r="AI475" s="25" cm="1">
        <f t="array" ref="AI475">MMULT($D475:$G475,AI$459:AI$462)</f>
        <v>-6.9206946400641373E-2</v>
      </c>
      <c r="AJ475" s="25" cm="1">
        <f t="array" ref="AJ475">MMULT($D475:$G475,AJ$459:AJ$462)</f>
        <v>-4.735872916738517E-2</v>
      </c>
      <c r="AK475" s="25" cm="1">
        <f t="array" ref="AK475">MMULT($D475:$G475,AK$459:AK$462)</f>
        <v>-6.3589865162399575E-2</v>
      </c>
      <c r="AL475" s="25" cm="1">
        <f t="array" ref="AL475">MMULT($D475:$G475,AL$459:AL$462)</f>
        <v>-6.650660418410359E-2</v>
      </c>
      <c r="AM475" s="25" cm="1">
        <f t="array" ref="AM475">MMULT($D475:$G475,AM$459:AM$462)</f>
        <v>-2.93557089578779E-2</v>
      </c>
      <c r="AN475" s="25" cm="1">
        <f t="array" ref="AN475">MMULT($D475:$G475,AN$459:AN$462)</f>
        <v>-5.1009138989228833E-2</v>
      </c>
      <c r="AO475" s="25" cm="1">
        <f t="array" ref="AO475">MMULT($D475:$G475,AO$459:AO$462)</f>
        <v>-7.0015851451410968E-2</v>
      </c>
      <c r="AP475" s="25" cm="1">
        <f t="array" ref="AP475">MMULT($D475:$G475,AP$459:AP$462)</f>
        <v>-1.3425674344021662E-2</v>
      </c>
      <c r="AQ475" s="25" cm="1">
        <f t="array" ref="AQ475">MMULT($D475:$G475,AQ$459:AQ$462)</f>
        <v>-4.0284685536750971E-2</v>
      </c>
      <c r="AR475" s="25" cm="1">
        <f t="array" ref="AR475">MMULT($D475:$G475,AR$459:AR$462)</f>
        <v>-8.8792413729224147E-3</v>
      </c>
      <c r="AS475" s="25" cm="1">
        <f t="array" ref="AS475">MMULT($D475:$G475,AS$459:AS$462)</f>
        <v>-7.0502343117622726E-2</v>
      </c>
      <c r="AT475" s="25" cm="1">
        <f t="array" ref="AT475">MMULT($D475:$G475,AT$459:AT$462)</f>
        <v>-4.6115852609054611E-2</v>
      </c>
      <c r="AU475" s="25" cm="1">
        <f t="array" ref="AU475">MMULT($D475:$G475,AU$459:AU$462)</f>
        <v>-7.3391861746466086E-2</v>
      </c>
      <c r="AV475" s="25" cm="1">
        <f t="array" ref="AV475">MMULT($D475:$G475,AV$459:AV$462)</f>
        <v>-7.5806023593677621E-2</v>
      </c>
      <c r="AW475" s="25" cm="1">
        <f t="array" ref="AW475">MMULT($D475:$G475,AW$459:AW$462)</f>
        <v>-5.647806042963472E-2</v>
      </c>
      <c r="AX475" s="25" cm="1">
        <f t="array" ref="AX475">MMULT($D475:$G475,AX$459:AX$462)</f>
        <v>-7.81943434857367E-2</v>
      </c>
      <c r="AY475" s="25" cm="1">
        <f t="array" ref="AY475">MMULT($D475:$G475,AY$459:AY$462)</f>
        <v>-7.5550779118670808E-2</v>
      </c>
      <c r="AZ475" s="25" cm="1">
        <f t="array" ref="AZ475">MMULT($D475:$G475,AZ$459:AZ$462)</f>
        <v>-6.2995523486949589E-2</v>
      </c>
      <c r="BA475" s="25" cm="1">
        <f t="array" ref="BA475">MMULT($D475:$G475,BA$459:BA$462)</f>
        <v>-5.5676912657893429E-2</v>
      </c>
      <c r="BB475" s="25" cm="1">
        <f t="array" ref="BB475">MMULT($D475:$G475,BB$459:BB$462)</f>
        <v>-3.3290247340029097E-2</v>
      </c>
      <c r="BC475" s="25" cm="1">
        <f t="array" ref="BC475">MMULT($D475:$G475,BC$459:BC$462)</f>
        <v>-6.1331385679263342E-2</v>
      </c>
      <c r="BD475" s="25" cm="1">
        <f t="array" ref="BD475">MMULT($D475:$G475,BD$459:BD$462)</f>
        <v>-3.5973044413378074E-3</v>
      </c>
      <c r="BE475" s="25" cm="1">
        <f t="array" ref="BE475">MMULT($D475:$G475,BE$459:BE$462)</f>
        <v>-4.7550556200258748E-2</v>
      </c>
    </row>
    <row r="476" spans="4:57" x14ac:dyDescent="0.3">
      <c r="D476" s="5">
        <v>6.6267690648036393E-2</v>
      </c>
      <c r="E476" s="5">
        <v>1.4385503838439506E-2</v>
      </c>
      <c r="F476" s="5">
        <v>1.6189172605843183E-2</v>
      </c>
      <c r="G476" s="5">
        <v>1.4577259475218707E-2</v>
      </c>
      <c r="H476" s="25" cm="1">
        <f t="array" ref="H476">MMULT($D476:$G476,H$459:H$462)</f>
        <v>2.7854906641884447E-2</v>
      </c>
      <c r="I476" s="25" cm="1">
        <f t="array" ref="I476">MMULT($D476:$G476,I$459:I$462)</f>
        <v>2.0733057765167602E-2</v>
      </c>
      <c r="J476" s="25" cm="1">
        <f t="array" ref="J476">MMULT($D476:$G476,J$459:J$462)</f>
        <v>2.107280402440628E-2</v>
      </c>
      <c r="K476" s="25" cm="1">
        <f t="array" ref="K476">MMULT($D476:$G476,K$459:K$462)</f>
        <v>2.564129339056171E-2</v>
      </c>
      <c r="L476" s="25" cm="1">
        <f t="array" ref="L476">MMULT($D476:$G476,L$459:L$462)</f>
        <v>4.2059866976419023E-2</v>
      </c>
      <c r="M476" s="25" cm="1">
        <f t="array" ref="M476">MMULT($D476:$G476,M$459:M$462)</f>
        <v>4.1815814628604495E-2</v>
      </c>
      <c r="N476" s="25" cm="1">
        <f t="array" ref="N476">MMULT($D476:$G476,N$459:N$462)</f>
        <v>2.8116986629342429E-2</v>
      </c>
      <c r="O476" s="25" cm="1">
        <f t="array" ref="O476">MMULT($D476:$G476,O$459:O$462)</f>
        <v>1.5521392495611947E-2</v>
      </c>
      <c r="P476" s="25" cm="1">
        <f t="array" ref="P476">MMULT($D476:$G476,P$459:P$462)</f>
        <v>3.7149776126786334E-2</v>
      </c>
      <c r="Q476" s="25" cm="1">
        <f t="array" ref="Q476">MMULT($D476:$G476,Q$459:Q$462)</f>
        <v>2.3656758857866507E-2</v>
      </c>
      <c r="R476" s="25" cm="1">
        <f t="array" ref="R476">MMULT($D476:$G476,R$459:R$462)</f>
        <v>4.0124674876652625E-2</v>
      </c>
      <c r="S476" s="25" cm="1">
        <f t="array" ref="S476">MMULT($D476:$G476,S$459:S$462)</f>
        <v>2.2405355964907073E-2</v>
      </c>
      <c r="T476" s="25" cm="1">
        <f t="array" ref="T476">MMULT($D476:$G476,T$459:T$462)</f>
        <v>2.9518797333534907E-2</v>
      </c>
      <c r="U476" s="25" cm="1">
        <f t="array" ref="U476">MMULT($D476:$G476,U$459:U$462)</f>
        <v>4.6168773090253544E-2</v>
      </c>
      <c r="V476" s="25" cm="1">
        <f t="array" ref="V476">MMULT($D476:$G476,V$459:V$462)</f>
        <v>2.4029821009163864E-2</v>
      </c>
      <c r="W476" s="25" cm="1">
        <f t="array" ref="W476">MMULT($D476:$G476,W$459:W$462)</f>
        <v>2.7610978036493938E-2</v>
      </c>
      <c r="X476" s="25" cm="1">
        <f t="array" ref="X476">MMULT($D476:$G476,X$459:X$462)</f>
        <v>2.320570163189975E-2</v>
      </c>
      <c r="Y476" s="25" cm="1">
        <f t="array" ref="Y476">MMULT($D476:$G476,Y$459:Y$462)</f>
        <v>1.7602075053742495E-2</v>
      </c>
      <c r="Z476" s="25" cm="1">
        <f t="array" ref="Z476">MMULT($D476:$G476,Z$459:Z$462)</f>
        <v>4.4373055726227184E-2</v>
      </c>
      <c r="AA476" s="25" cm="1">
        <f t="array" ref="AA476">MMULT($D476:$G476,AA$459:AA$462)</f>
        <v>2.7941621765707025E-2</v>
      </c>
      <c r="AB476" s="25" cm="1">
        <f t="array" ref="AB476">MMULT($D476:$G476,AB$459:AB$462)</f>
        <v>2.0041296910479532E-2</v>
      </c>
      <c r="AC476" s="25" cm="1">
        <f t="array" ref="AC476">MMULT($D476:$G476,AC$459:AC$462)</f>
        <v>2.1743743719220207E-2</v>
      </c>
      <c r="AD476" s="25" cm="1">
        <f t="array" ref="AD476">MMULT($D476:$G476,AD$459:AD$462)</f>
        <v>2.8018515211955201E-2</v>
      </c>
      <c r="AE476" s="25" cm="1">
        <f t="array" ref="AE476">MMULT($D476:$G476,AE$459:AE$462)</f>
        <v>3.5431079997537036E-2</v>
      </c>
      <c r="AF476" s="25" cm="1">
        <f t="array" ref="AF476">MMULT($D476:$G476,AF$459:AF$462)</f>
        <v>2.1045910137916499E-2</v>
      </c>
      <c r="AG476" s="25" cm="1">
        <f t="array" ref="AG476">MMULT($D476:$G476,AG$459:AG$462)</f>
        <v>4.602969762740762E-2</v>
      </c>
      <c r="AH476" s="25" cm="1">
        <f t="array" ref="AH476">MMULT($D476:$G476,AH$459:AH$462)</f>
        <v>4.222501686086088E-2</v>
      </c>
      <c r="AI476" s="25" cm="1">
        <f t="array" ref="AI476">MMULT($D476:$G476,AI$459:AI$462)</f>
        <v>5.0505255055845244E-2</v>
      </c>
      <c r="AJ476" s="25" cm="1">
        <f t="array" ref="AJ476">MMULT($D476:$G476,AJ$459:AJ$462)</f>
        <v>2.2277519940351674E-2</v>
      </c>
      <c r="AK476" s="25" cm="1">
        <f t="array" ref="AK476">MMULT($D476:$G476,AK$459:AK$462)</f>
        <v>4.1780237684814488E-2</v>
      </c>
      <c r="AL476" s="25" cm="1">
        <f t="array" ref="AL476">MMULT($D476:$G476,AL$459:AL$462)</f>
        <v>5.10392157118141E-2</v>
      </c>
      <c r="AM476" s="25" cm="1">
        <f t="array" ref="AM476">MMULT($D476:$G476,AM$459:AM$462)</f>
        <v>2.6066999992394497E-2</v>
      </c>
      <c r="AN476" s="25" cm="1">
        <f t="array" ref="AN476">MMULT($D476:$G476,AN$459:AN$462)</f>
        <v>2.238836279145081E-2</v>
      </c>
      <c r="AO476" s="25" cm="1">
        <f t="array" ref="AO476">MMULT($D476:$G476,AO$459:AO$462)</f>
        <v>2.2112878715732115E-2</v>
      </c>
      <c r="AP476" s="25" cm="1">
        <f t="array" ref="AP476">MMULT($D476:$G476,AP$459:AP$462)</f>
        <v>2.4698721945441218E-2</v>
      </c>
      <c r="AQ476" s="25" cm="1">
        <f t="array" ref="AQ476">MMULT($D476:$G476,AQ$459:AQ$462)</f>
        <v>2.8521170965690127E-2</v>
      </c>
      <c r="AR476" s="25" cm="1">
        <f t="array" ref="AR476">MMULT($D476:$G476,AR$459:AR$462)</f>
        <v>2.8691240919743087E-2</v>
      </c>
      <c r="AS476" s="25" cm="1">
        <f t="array" ref="AS476">MMULT($D476:$G476,AS$459:AS$462)</f>
        <v>3.852317630852245E-2</v>
      </c>
      <c r="AT476" s="25" cm="1">
        <f t="array" ref="AT476">MMULT($D476:$G476,AT$459:AT$462)</f>
        <v>1.7231578008459557E-2</v>
      </c>
      <c r="AU476" s="25" cm="1">
        <f t="array" ref="AU476">MMULT($D476:$G476,AU$459:AU$462)</f>
        <v>2.1583628701487046E-2</v>
      </c>
      <c r="AV476" s="25" cm="1">
        <f t="array" ref="AV476">MMULT($D476:$G476,AV$459:AV$462)</f>
        <v>2.6965906996109394E-2</v>
      </c>
      <c r="AW476" s="25" cm="1">
        <f t="array" ref="AW476">MMULT($D476:$G476,AW$459:AW$462)</f>
        <v>1.6185053748831457E-2</v>
      </c>
      <c r="AX476" s="25" cm="1">
        <f t="array" ref="AX476">MMULT($D476:$G476,AX$459:AX$462)</f>
        <v>1.783450008874083E-2</v>
      </c>
      <c r="AY476" s="25" cm="1">
        <f t="array" ref="AY476">MMULT($D476:$G476,AY$459:AY$462)</f>
        <v>2.0365257787613601E-2</v>
      </c>
      <c r="AZ476" s="25" cm="1">
        <f t="array" ref="AZ476">MMULT($D476:$G476,AZ$459:AZ$462)</f>
        <v>4.2973387055708946E-2</v>
      </c>
      <c r="BA476" s="25" cm="1">
        <f t="array" ref="BA476">MMULT($D476:$G476,BA$459:BA$462)</f>
        <v>2.8189955110510024E-2</v>
      </c>
      <c r="BB476" s="25" cm="1">
        <f t="array" ref="BB476">MMULT($D476:$G476,BB$459:BB$462)</f>
        <v>1.8543488726052118E-2</v>
      </c>
      <c r="BC476" s="25" cm="1">
        <f t="array" ref="BC476">MMULT($D476:$G476,BC$459:BC$462)</f>
        <v>2.5725155403197697E-2</v>
      </c>
      <c r="BD476" s="25" cm="1">
        <f t="array" ref="BD476">MMULT($D476:$G476,BD$459:BD$462)</f>
        <v>1.6768335066096294E-2</v>
      </c>
      <c r="BE476" s="25" cm="1">
        <f t="array" ref="BE476">MMULT($D476:$G476,BE$459:BE$462)</f>
        <v>2.1799726755950093E-2</v>
      </c>
    </row>
    <row r="477" spans="4:57" x14ac:dyDescent="0.3">
      <c r="D477" s="5">
        <v>7.6650687736371736E-2</v>
      </c>
      <c r="E477" s="5">
        <v>-3.4771937001430997E-3</v>
      </c>
      <c r="F477" s="5">
        <v>-1.3469577333953264E-3</v>
      </c>
      <c r="G477" s="5">
        <v>-9.4827586206896575E-2</v>
      </c>
      <c r="H477" s="25" cm="1">
        <f t="array" ref="H477">MMULT($D477:$G477,H$459:H$462)</f>
        <v>-5.7502624760158161E-3</v>
      </c>
      <c r="I477" s="25" cm="1">
        <f t="array" ref="I477">MMULT($D477:$G477,I$459:I$462)</f>
        <v>-1.784381353459203E-2</v>
      </c>
      <c r="J477" s="25" cm="1">
        <f t="array" ref="J477">MMULT($D477:$G477,J$459:J$462)</f>
        <v>-1.5725491337626653E-3</v>
      </c>
      <c r="K477" s="25" cm="1">
        <f t="array" ref="K477">MMULT($D477:$G477,K$459:K$462)</f>
        <v>-1.73873995857146E-2</v>
      </c>
      <c r="L477" s="25" cm="1">
        <f t="array" ref="L477">MMULT($D477:$G477,L$459:L$462)</f>
        <v>2.6796137167838283E-2</v>
      </c>
      <c r="M477" s="25" cm="1">
        <f t="array" ref="M477">MMULT($D477:$G477,M$459:M$462)</f>
        <v>1.2202552945125893E-2</v>
      </c>
      <c r="N477" s="25" cm="1">
        <f t="array" ref="N477">MMULT($D477:$G477,N$459:N$462)</f>
        <v>-1.4864616747599698E-2</v>
      </c>
      <c r="O477" s="25" cm="1">
        <f t="array" ref="O477">MMULT($D477:$G477,O$459:O$462)</f>
        <v>-1.9181590438259476E-2</v>
      </c>
      <c r="P477" s="25" cm="1">
        <f t="array" ref="P477">MMULT($D477:$G477,P$459:P$462)</f>
        <v>2.5823345531851932E-2</v>
      </c>
      <c r="Q477" s="25" cm="1">
        <f t="array" ref="Q477">MMULT($D477:$G477,Q$459:Q$462)</f>
        <v>2.179412158073258E-3</v>
      </c>
      <c r="R477" s="25" cm="1">
        <f t="array" ref="R477">MMULT($D477:$G477,R$459:R$462)</f>
        <v>1.407882383856033E-2</v>
      </c>
      <c r="S477" s="25" cm="1">
        <f t="array" ref="S477">MMULT($D477:$G477,S$459:S$462)</f>
        <v>-4.8941721163774585E-2</v>
      </c>
      <c r="T477" s="25" cm="1">
        <f t="array" ref="T477">MMULT($D477:$G477,T$459:T$462)</f>
        <v>8.9595380617200973E-3</v>
      </c>
      <c r="U477" s="25" cm="1">
        <f t="array" ref="U477">MMULT($D477:$G477,U$459:U$462)</f>
        <v>4.4032876445629282E-2</v>
      </c>
      <c r="V477" s="25" cm="1">
        <f t="array" ref="V477">MMULT($D477:$G477,V$459:V$462)</f>
        <v>-2.2568560517082021E-2</v>
      </c>
      <c r="W477" s="25" cm="1">
        <f t="array" ref="W477">MMULT($D477:$G477,W$459:W$462)</f>
        <v>1.4541663977674472E-2</v>
      </c>
      <c r="X477" s="25" cm="1">
        <f t="array" ref="X477">MMULT($D477:$G477,X$459:X$462)</f>
        <v>2.585340587648163E-3</v>
      </c>
      <c r="Y477" s="25" cm="1">
        <f t="array" ref="Y477">MMULT($D477:$G477,Y$459:Y$462)</f>
        <v>-1.5559379023807687E-2</v>
      </c>
      <c r="Z477" s="25" cm="1">
        <f t="array" ref="Z477">MMULT($D477:$G477,Z$459:Z$462)</f>
        <v>2.7140765718907431E-2</v>
      </c>
      <c r="AA477" s="25" cm="1">
        <f t="array" ref="AA477">MMULT($D477:$G477,AA$459:AA$462)</f>
        <v>-3.1422970042907422E-2</v>
      </c>
      <c r="AB477" s="25" cm="1">
        <f t="array" ref="AB477">MMULT($D477:$G477,AB$459:AB$462)</f>
        <v>-4.060783510465097E-2</v>
      </c>
      <c r="AC477" s="25" cm="1">
        <f t="array" ref="AC477">MMULT($D477:$G477,AC$459:AC$462)</f>
        <v>-2.1322580092612939E-2</v>
      </c>
      <c r="AD477" s="25" cm="1">
        <f t="array" ref="AD477">MMULT($D477:$G477,AD$459:AD$462)</f>
        <v>-3.9122466247664162E-2</v>
      </c>
      <c r="AE477" s="25" cm="1">
        <f t="array" ref="AE477">MMULT($D477:$G477,AE$459:AE$462)</f>
        <v>1.8406637748373603E-3</v>
      </c>
      <c r="AF477" s="25" cm="1">
        <f t="array" ref="AF477">MMULT($D477:$G477,AF$459:AF$462)</f>
        <v>-1.8568841012660646E-2</v>
      </c>
      <c r="AG477" s="25" cm="1">
        <f t="array" ref="AG477">MMULT($D477:$G477,AG$459:AG$462)</f>
        <v>2.5093980170402812E-2</v>
      </c>
      <c r="AH477" s="25" cm="1">
        <f t="array" ref="AH477">MMULT($D477:$G477,AH$459:AH$462)</f>
        <v>3.5364114538757221E-2</v>
      </c>
      <c r="AI477" s="25" cm="1">
        <f t="array" ref="AI477">MMULT($D477:$G477,AI$459:AI$462)</f>
        <v>4.3242451248186695E-2</v>
      </c>
      <c r="AJ477" s="25" cm="1">
        <f t="array" ref="AJ477">MMULT($D477:$G477,AJ$459:AJ$462)</f>
        <v>-1.0765078355366386E-2</v>
      </c>
      <c r="AK477" s="25" cm="1">
        <f t="array" ref="AK477">MMULT($D477:$G477,AK$459:AK$462)</f>
        <v>2.3500704205297561E-2</v>
      </c>
      <c r="AL477" s="25" cm="1">
        <f t="array" ref="AL477">MMULT($D477:$G477,AL$459:AL$462)</f>
        <v>4.8657990399072169E-2</v>
      </c>
      <c r="AM477" s="25" cm="1">
        <f t="array" ref="AM477">MMULT($D477:$G477,AM$459:AM$462)</f>
        <v>-1.6005605455526435E-2</v>
      </c>
      <c r="AN477" s="25" cm="1">
        <f t="array" ref="AN477">MMULT($D477:$G477,AN$459:AN$462)</f>
        <v>-3.0829117648997047E-2</v>
      </c>
      <c r="AO477" s="25" cm="1">
        <f t="array" ref="AO477">MMULT($D477:$G477,AO$459:AO$462)</f>
        <v>-3.6477528089221736E-2</v>
      </c>
      <c r="AP477" s="25" cm="1">
        <f t="array" ref="AP477">MMULT($D477:$G477,AP$459:AP$462)</f>
        <v>7.1337515608149065E-3</v>
      </c>
      <c r="AQ477" s="25" cm="1">
        <f t="array" ref="AQ477">MMULT($D477:$G477,AQ$459:AQ$462)</f>
        <v>-1.6063233026016026E-2</v>
      </c>
      <c r="AR477" s="25" cm="1">
        <f t="array" ref="AR477">MMULT($D477:$G477,AR$459:AR$462)</f>
        <v>1.5784782950376802E-2</v>
      </c>
      <c r="AS477" s="25" cm="1">
        <f t="array" ref="AS477">MMULT($D477:$G477,AS$459:AS$462)</f>
        <v>-4.781341446786179E-3</v>
      </c>
      <c r="AT477" s="25" cm="1">
        <f t="array" ref="AT477">MMULT($D477:$G477,AT$459:AT$462)</f>
        <v>-3.3029310819911388E-2</v>
      </c>
      <c r="AU477" s="25" cm="1">
        <f t="array" ref="AU477">MMULT($D477:$G477,AU$459:AU$462)</f>
        <v>-2.0871041244001839E-2</v>
      </c>
      <c r="AV477" s="25" cm="1">
        <f t="array" ref="AV477">MMULT($D477:$G477,AV$459:AV$462)</f>
        <v>-1.4732664905227347E-2</v>
      </c>
      <c r="AW477" s="25" cm="1">
        <f t="array" ref="AW477">MMULT($D477:$G477,AW$459:AW$462)</f>
        <v>-4.4829712911439107E-3</v>
      </c>
      <c r="AX477" s="25" cm="1">
        <f t="array" ref="AX477">MMULT($D477:$G477,AX$459:AX$462)</f>
        <v>-4.3993069099034061E-2</v>
      </c>
      <c r="AY477" s="25" cm="1">
        <f t="array" ref="AY477">MMULT($D477:$G477,AY$459:AY$462)</f>
        <v>-2.2501894334936746E-2</v>
      </c>
      <c r="AZ477" s="25" cm="1">
        <f t="array" ref="AZ477">MMULT($D477:$G477,AZ$459:AZ$462)</f>
        <v>2.1371975649802061E-2</v>
      </c>
      <c r="BA477" s="25" cm="1">
        <f t="array" ref="BA477">MMULT($D477:$G477,BA$459:BA$462)</f>
        <v>-3.0440711981058723E-2</v>
      </c>
      <c r="BB477" s="25" cm="1">
        <f t="array" ref="BB477">MMULT($D477:$G477,BB$459:BB$462)</f>
        <v>-8.5265079402153075E-4</v>
      </c>
      <c r="BC477" s="25" cm="1">
        <f t="array" ref="BC477">MMULT($D477:$G477,BC$459:BC$462)</f>
        <v>-3.8885316909256708E-2</v>
      </c>
      <c r="BD477" s="25" cm="1">
        <f t="array" ref="BD477">MMULT($D477:$G477,BD$459:BD$462)</f>
        <v>-1.9819088790705625E-2</v>
      </c>
      <c r="BE477" s="25" cm="1">
        <f t="array" ref="BE477">MMULT($D477:$G477,BE$459:BE$462)</f>
        <v>-3.1055851498193329E-2</v>
      </c>
    </row>
    <row r="478" spans="4:57" x14ac:dyDescent="0.3">
      <c r="D478" s="5">
        <v>-6.3989260543684923E-2</v>
      </c>
      <c r="E478" s="5">
        <v>7.9980842911877348E-2</v>
      </c>
      <c r="F478" s="5">
        <v>5.3671922236175229E-2</v>
      </c>
      <c r="G478" s="5">
        <v>3.4920634920634797E-2</v>
      </c>
      <c r="H478" s="25" cm="1">
        <f t="array" ref="H478">MMULT($D478:$G478,H$459:H$462)</f>
        <v>2.6146034881250613E-2</v>
      </c>
      <c r="I478" s="25" cm="1">
        <f t="array" ref="I478">MMULT($D478:$G478,I$459:I$462)</f>
        <v>4.5639637302654593E-2</v>
      </c>
      <c r="J478" s="25" cm="1">
        <f t="array" ref="J478">MMULT($D478:$G478,J$459:J$462)</f>
        <v>5.2660939183923401E-2</v>
      </c>
      <c r="K478" s="25" cm="1">
        <f t="array" ref="K478">MMULT($D478:$G478,K$459:K$462)</f>
        <v>2.5614374882432824E-2</v>
      </c>
      <c r="L478" s="25" cm="1">
        <f t="array" ref="L478">MMULT($D478:$G478,L$459:L$462)</f>
        <v>-4.8631026094593504E-3</v>
      </c>
      <c r="M478" s="25" cm="1">
        <f t="array" ref="M478">MMULT($D478:$G478,M$459:M$462)</f>
        <v>-9.4556863536600973E-3</v>
      </c>
      <c r="N478" s="25" cm="1">
        <f t="array" ref="N478">MMULT($D478:$G478,N$459:N$462)</f>
        <v>2.4232718948238478E-2</v>
      </c>
      <c r="O478" s="25" cm="1">
        <f t="array" ref="O478">MMULT($D478:$G478,O$459:O$462)</f>
        <v>5.7199207417961875E-2</v>
      </c>
      <c r="P478" s="25" cm="1">
        <f t="array" ref="P478">MMULT($D478:$G478,P$459:P$462)</f>
        <v>4.9719072143226649E-3</v>
      </c>
      <c r="Q478" s="25" cm="1">
        <f t="array" ref="Q478">MMULT($D478:$G478,Q$459:Q$462)</f>
        <v>4.2989147603097022E-2</v>
      </c>
      <c r="R478" s="25" cm="1">
        <f t="array" ref="R478">MMULT($D478:$G478,R$459:R$462)</f>
        <v>-4.0323666596213583E-3</v>
      </c>
      <c r="S478" s="25" cm="1">
        <f t="array" ref="S478">MMULT($D478:$G478,S$459:S$462)</f>
        <v>2.6371704228423679E-2</v>
      </c>
      <c r="T478" s="25" cm="1">
        <f t="array" ref="T478">MMULT($D478:$G478,T$459:T$462)</f>
        <v>2.7649744875321857E-2</v>
      </c>
      <c r="U478" s="25" cm="1">
        <f t="array" ref="U478">MMULT($D478:$G478,U$459:U$462)</f>
        <v>-1.148092278461796E-2</v>
      </c>
      <c r="V478" s="25" cm="1">
        <f t="array" ref="V478">MMULT($D478:$G478,V$459:V$462)</f>
        <v>3.2929230841699582E-2</v>
      </c>
      <c r="W478" s="25" cm="1">
        <f t="array" ref="W478">MMULT($D478:$G478,W$459:W$462)</f>
        <v>3.5379696959295999E-2</v>
      </c>
      <c r="X478" s="25" cm="1">
        <f t="array" ref="X478">MMULT($D478:$G478,X$459:X$462)</f>
        <v>3.8742582643215936E-2</v>
      </c>
      <c r="Y478" s="25" cm="1">
        <f t="array" ref="Y478">MMULT($D478:$G478,Y$459:Y$462)</f>
        <v>5.7972929044530809E-2</v>
      </c>
      <c r="Z478" s="25" cm="1">
        <f t="array" ref="Z478">MMULT($D478:$G478,Z$459:Z$462)</f>
        <v>-1.4600574060726245E-2</v>
      </c>
      <c r="AA478" s="25" cm="1">
        <f t="array" ref="AA478">MMULT($D478:$G478,AA$459:AA$462)</f>
        <v>1.7579898723569184E-2</v>
      </c>
      <c r="AB478" s="25" cm="1">
        <f t="array" ref="AB478">MMULT($D478:$G478,AB$459:AB$462)</f>
        <v>3.8147136364113474E-2</v>
      </c>
      <c r="AC478" s="25" cm="1">
        <f t="array" ref="AC478">MMULT($D478:$G478,AC$459:AC$462)</f>
        <v>3.5949737535468318E-2</v>
      </c>
      <c r="AD478" s="25" cm="1">
        <f t="array" ref="AD478">MMULT($D478:$G478,AD$459:AD$462)</f>
        <v>1.4004668807354292E-2</v>
      </c>
      <c r="AE478" s="25" cm="1">
        <f t="array" ref="AE478">MMULT($D478:$G478,AE$459:AE$462)</f>
        <v>5.3192823824615623E-3</v>
      </c>
      <c r="AF478" s="25" cm="1">
        <f t="array" ref="AF478">MMULT($D478:$G478,AF$459:AF$462)</f>
        <v>3.6406719783313696E-2</v>
      </c>
      <c r="AG478" s="25" cm="1">
        <f t="array" ref="AG478">MMULT($D478:$G478,AG$459:AG$462)</f>
        <v>-1.8586735836879885E-2</v>
      </c>
      <c r="AH478" s="25" cm="1">
        <f t="array" ref="AH478">MMULT($D478:$G478,AH$459:AH$462)</f>
        <v>-3.4861338960016112E-3</v>
      </c>
      <c r="AI478" s="25" cm="1">
        <f t="array" ref="AI478">MMULT($D478:$G478,AI$459:AI$462)</f>
        <v>-2.6031019715741767E-2</v>
      </c>
      <c r="AJ478" s="25" cm="1">
        <f t="array" ref="AJ478">MMULT($D478:$G478,AJ$459:AJ$462)</f>
        <v>4.2410044305223951E-2</v>
      </c>
      <c r="AK478" s="25" cm="1">
        <f t="array" ref="AK478">MMULT($D478:$G478,AK$459:AK$462)</f>
        <v>-6.0723909098814779E-3</v>
      </c>
      <c r="AL478" s="25" cm="1">
        <f t="array" ref="AL478">MMULT($D478:$G478,AL$459:AL$462)</f>
        <v>-2.5870098711782832E-2</v>
      </c>
      <c r="AM478" s="25" cm="1">
        <f t="array" ref="AM478">MMULT($D478:$G478,AM$459:AM$462)</f>
        <v>2.3666488058341852E-2</v>
      </c>
      <c r="AN478" s="25" cm="1">
        <f t="array" ref="AN478">MMULT($D478:$G478,AN$459:AN$462)</f>
        <v>3.3459533334347022E-2</v>
      </c>
      <c r="AO478" s="25" cm="1">
        <f t="array" ref="AO478">MMULT($D478:$G478,AO$459:AO$462)</f>
        <v>3.5266622176913502E-2</v>
      </c>
      <c r="AP478" s="25" cm="1">
        <f t="array" ref="AP478">MMULT($D478:$G478,AP$459:AP$462)</f>
        <v>3.6131525716040308E-2</v>
      </c>
      <c r="AQ478" s="25" cm="1">
        <f t="array" ref="AQ478">MMULT($D478:$G478,AQ$459:AQ$462)</f>
        <v>1.7171214411289201E-2</v>
      </c>
      <c r="AR478" s="25" cm="1">
        <f t="array" ref="AR478">MMULT($D478:$G478,AR$459:AR$462)</f>
        <v>2.5528070851502473E-2</v>
      </c>
      <c r="AS478" s="25" cm="1">
        <f t="array" ref="AS478">MMULT($D478:$G478,AS$459:AS$462)</f>
        <v>-6.6060752314869957E-3</v>
      </c>
      <c r="AT478" s="25" cm="1">
        <f t="array" ref="AT478">MMULT($D478:$G478,AT$459:AT$462)</f>
        <v>4.9326251783954306E-2</v>
      </c>
      <c r="AU478" s="25" cm="1">
        <f t="array" ref="AU478">MMULT($D478:$G478,AU$459:AU$462)</f>
        <v>4.4885691493047504E-2</v>
      </c>
      <c r="AV478" s="25" cm="1">
        <f t="array" ref="AV478">MMULT($D478:$G478,AV$459:AV$462)</f>
        <v>2.9603230222333361E-2</v>
      </c>
      <c r="AW478" s="25" cm="1">
        <f t="array" ref="AW478">MMULT($D478:$G478,AW$459:AW$462)</f>
        <v>6.7952691568941806E-2</v>
      </c>
      <c r="AX478" s="25" cm="1">
        <f t="array" ref="AX478">MMULT($D478:$G478,AX$459:AX$462)</f>
        <v>4.8038187021151008E-2</v>
      </c>
      <c r="AY478" s="25" cm="1">
        <f t="array" ref="AY478">MMULT($D478:$G478,AY$459:AY$462)</f>
        <v>4.8726153240893598E-2</v>
      </c>
      <c r="AZ478" s="25" cm="1">
        <f t="array" ref="AZ478">MMULT($D478:$G478,AZ$459:AZ$462)</f>
        <v>-1.127135786397095E-2</v>
      </c>
      <c r="BA478" s="25" cm="1">
        <f t="array" ref="BA478">MMULT($D478:$G478,BA$459:BA$462)</f>
        <v>1.4496236520156093E-2</v>
      </c>
      <c r="BB478" s="25" cm="1">
        <f t="array" ref="BB478">MMULT($D478:$G478,BB$459:BB$462)</f>
        <v>5.7279124064996453E-2</v>
      </c>
      <c r="BC478" s="25" cm="1">
        <f t="array" ref="BC478">MMULT($D478:$G478,BC$459:BC$462)</f>
        <v>2.0132028251546405E-2</v>
      </c>
      <c r="BD478" s="25" cm="1">
        <f t="array" ref="BD478">MMULT($D478:$G478,BD$459:BD$462)</f>
        <v>4.9267880178451996E-2</v>
      </c>
      <c r="BE478" s="25" cm="1">
        <f t="array" ref="BE478">MMULT($D478:$G478,BE$459:BE$462)</f>
        <v>3.4754460104747656E-2</v>
      </c>
    </row>
    <row r="479" spans="4:57" x14ac:dyDescent="0.3">
      <c r="D479" s="5">
        <v>-2.8923150472093262E-3</v>
      </c>
      <c r="E479" s="5">
        <v>5.0744377573646027E-2</v>
      </c>
      <c r="F479" s="5">
        <v>2.0922533657029341E-2</v>
      </c>
      <c r="G479" s="5">
        <v>-0.1165644171779141</v>
      </c>
      <c r="H479" s="25" cm="1">
        <f t="array" ref="H479">MMULT($D479:$G479,H$459:H$462)</f>
        <v>-1.1947455248612016E-2</v>
      </c>
      <c r="I479" s="25" cm="1">
        <f t="array" ref="I479">MMULT($D479:$G479,I$459:I$462)</f>
        <v>-6.2454504804493501E-3</v>
      </c>
      <c r="J479" s="25" cm="1">
        <f t="array" ref="J479">MMULT($D479:$G479,J$459:J$462)</f>
        <v>2.2515555125446118E-2</v>
      </c>
      <c r="K479" s="25" cm="1">
        <f t="array" ref="K479">MMULT($D479:$G479,K$459:K$462)</f>
        <v>-2.8063935142665357E-2</v>
      </c>
      <c r="L479" s="25" cm="1">
        <f t="array" ref="L479">MMULT($D479:$G479,L$459:L$462)</f>
        <v>-3.1392565255899015E-3</v>
      </c>
      <c r="M479" s="25" cm="1">
        <f t="array" ref="M479">MMULT($D479:$G479,M$459:M$462)</f>
        <v>-2.6721574541953313E-2</v>
      </c>
      <c r="N479" s="25" cm="1">
        <f t="array" ref="N479">MMULT($D479:$G479,N$459:N$462)</f>
        <v>-2.5190158183147817E-2</v>
      </c>
      <c r="O479" s="25" cm="1">
        <f t="array" ref="O479">MMULT($D479:$G479,O$459:O$462)</f>
        <v>3.5200136081796236E-3</v>
      </c>
      <c r="P479" s="25" cm="1">
        <f t="array" ref="P479">MMULT($D479:$G479,P$459:P$462)</f>
        <v>5.0610531931712215E-3</v>
      </c>
      <c r="Q479" s="25" cm="1">
        <f t="array" ref="Q479">MMULT($D479:$G479,Q$459:Q$462)</f>
        <v>1.636675797486226E-2</v>
      </c>
      <c r="R479" s="25" cm="1">
        <f t="array" ref="R479">MMULT($D479:$G479,R$459:R$462)</f>
        <v>-1.863883120707964E-2</v>
      </c>
      <c r="S479" s="25" cm="1">
        <f t="array" ref="S479">MMULT($D479:$G479,S$459:S$462)</f>
        <v>-6.7173337411070788E-2</v>
      </c>
      <c r="T479" s="25" cm="1">
        <f t="array" ref="T479">MMULT($D479:$G479,T$459:T$462)</f>
        <v>8.752545042393256E-3</v>
      </c>
      <c r="U479" s="25" cm="1">
        <f t="array" ref="U479">MMULT($D479:$G479,U$459:U$462)</f>
        <v>1.1824530829446117E-2</v>
      </c>
      <c r="V479" s="25" cm="1">
        <f t="array" ref="V479">MMULT($D479:$G479,V$459:V$462)</f>
        <v>-2.60133268724549E-2</v>
      </c>
      <c r="W479" s="25" cm="1">
        <f t="array" ref="W479">MMULT($D479:$G479,W$459:W$462)</f>
        <v>2.4098089200893007E-2</v>
      </c>
      <c r="X479" s="25" cm="1">
        <f t="array" ref="X479">MMULT($D479:$G479,X$459:X$462)</f>
        <v>1.1148593681413977E-2</v>
      </c>
      <c r="Y479" s="25" cm="1">
        <f t="array" ref="Y479">MMULT($D479:$G479,Y$459:Y$462)</f>
        <v>1.0210889781037454E-2</v>
      </c>
      <c r="Z479" s="25" cm="1">
        <f t="array" ref="Z479">MMULT($D479:$G479,Z$459:Z$462)</f>
        <v>-1.3648458082559642E-2</v>
      </c>
      <c r="AA479" s="25" cm="1">
        <f t="array" ref="AA479">MMULT($D479:$G479,AA$459:AA$462)</f>
        <v>-5.3720691399621073E-2</v>
      </c>
      <c r="AB479" s="25" cm="1">
        <f t="array" ref="AB479">MMULT($D479:$G479,AB$459:AB$462)</f>
        <v>-4.3650745014122361E-2</v>
      </c>
      <c r="AC479" s="25" cm="1">
        <f t="array" ref="AC479">MMULT($D479:$G479,AC$459:AC$462)</f>
        <v>-2.2137790034361105E-2</v>
      </c>
      <c r="AD479" s="25" cm="1">
        <f t="array" ref="AD479">MMULT($D479:$G479,AD$459:AD$462)</f>
        <v>-6.7499162050995612E-2</v>
      </c>
      <c r="AE479" s="25" cm="1">
        <f t="array" ref="AE479">MMULT($D479:$G479,AE$459:AE$462)</f>
        <v>-2.4476492597309503E-2</v>
      </c>
      <c r="AF479" s="25" cm="1">
        <f t="array" ref="AF479">MMULT($D479:$G479,AF$459:AF$462)</f>
        <v>-1.8690696927835499E-2</v>
      </c>
      <c r="AG479" s="25" cm="1">
        <f t="array" ref="AG479">MMULT($D479:$G479,AG$459:AG$462)</f>
        <v>-2.0125978631489273E-2</v>
      </c>
      <c r="AH479" s="25" cm="1">
        <f t="array" ref="AH479">MMULT($D479:$G479,AH$459:AH$462)</f>
        <v>9.0376298640142232E-3</v>
      </c>
      <c r="AI479" s="25" cm="1">
        <f t="array" ref="AI479">MMULT($D479:$G479,AI$459:AI$462)</f>
        <v>-4.8818210187606178E-3</v>
      </c>
      <c r="AJ479" s="25" cm="1">
        <f t="array" ref="AJ479">MMULT($D479:$G479,AJ$459:AJ$462)</f>
        <v>-8.4518819856610819E-4</v>
      </c>
      <c r="AK479" s="25" cm="1">
        <f t="array" ref="AK479">MMULT($D479:$G479,AK$459:AK$462)</f>
        <v>-8.8290918849285582E-3</v>
      </c>
      <c r="AL479" s="25" cm="1">
        <f t="array" ref="AL479">MMULT($D479:$G479,AL$459:AL$462)</f>
        <v>2.1875138851944085E-3</v>
      </c>
      <c r="AM479" s="25" cm="1">
        <f t="array" ref="AM479">MMULT($D479:$G479,AM$459:AM$462)</f>
        <v>-2.8609681630291175E-2</v>
      </c>
      <c r="AN479" s="25" cm="1">
        <f t="array" ref="AN479">MMULT($D479:$G479,AN$459:AN$462)</f>
        <v>-3.6341252046171058E-2</v>
      </c>
      <c r="AO479" s="25" cm="1">
        <f t="array" ref="AO479">MMULT($D479:$G479,AO$459:AO$462)</f>
        <v>-4.1014244339080914E-2</v>
      </c>
      <c r="AP479" s="25" cm="1">
        <f t="array" ref="AP479">MMULT($D479:$G479,AP$459:AP$462)</f>
        <v>1.4258406366539998E-2</v>
      </c>
      <c r="AQ479" s="25" cm="1">
        <f t="array" ref="AQ479">MMULT($D479:$G479,AQ$459:AQ$462)</f>
        <v>-3.5377388422795086E-2</v>
      </c>
      <c r="AR479" s="25" cm="1">
        <f t="array" ref="AR479">MMULT($D479:$G479,AR$459:AR$462)</f>
        <v>1.3728692549515602E-2</v>
      </c>
      <c r="AS479" s="25" cm="1">
        <f t="array" ref="AS479">MMULT($D479:$G479,AS$459:AS$462)</f>
        <v>-4.5659331301865037E-2</v>
      </c>
      <c r="AT479" s="25" cm="1">
        <f t="array" ref="AT479">MMULT($D479:$G479,AT$459:AT$462)</f>
        <v>-2.2085740789773513E-2</v>
      </c>
      <c r="AU479" s="25" cm="1">
        <f t="array" ref="AU479">MMULT($D479:$G479,AU$459:AU$462)</f>
        <v>-1.0301843277876043E-2</v>
      </c>
      <c r="AV479" s="25" cm="1">
        <f t="array" ref="AV479">MMULT($D479:$G479,AV$459:AV$462)</f>
        <v>-1.8925816325397186E-2</v>
      </c>
      <c r="AW479" s="25" cm="1">
        <f t="array" ref="AW479">MMULT($D479:$G479,AW$459:AW$462)</f>
        <v>3.5356590155861664E-2</v>
      </c>
      <c r="AX479" s="25" cm="1">
        <f t="array" ref="AX479">MMULT($D479:$G479,AX$459:AX$462)</f>
        <v>-3.6537292213840535E-2</v>
      </c>
      <c r="AY479" s="25" cm="1">
        <f t="array" ref="AY479">MMULT($D479:$G479,AY$459:AY$462)</f>
        <v>-8.1542725462113545E-3</v>
      </c>
      <c r="AZ479" s="25" cm="1">
        <f t="array" ref="AZ479">MMULT($D479:$G479,AZ$459:AZ$462)</f>
        <v>-1.7251239699618233E-2</v>
      </c>
      <c r="BA479" s="25" cm="1">
        <f t="array" ref="BA479">MMULT($D479:$G479,BA$459:BA$462)</f>
        <v>-5.6310375891006251E-2</v>
      </c>
      <c r="BB479" s="25" cm="1">
        <f t="array" ref="BB479">MMULT($D479:$G479,BB$459:BB$462)</f>
        <v>2.7638180864602215E-2</v>
      </c>
      <c r="BC479" s="25" cm="1">
        <f t="array" ref="BC479">MMULT($D479:$G479,BC$459:BC$462)</f>
        <v>-6.0880683654229328E-2</v>
      </c>
      <c r="BD479" s="25" cm="1">
        <f t="array" ref="BD479">MMULT($D479:$G479,BD$459:BD$462)</f>
        <v>-6.5567416716305442E-3</v>
      </c>
      <c r="BE479" s="25" cm="1">
        <f t="array" ref="BE479">MMULT($D479:$G479,BE$459:BE$462)</f>
        <v>-3.5342954924261157E-2</v>
      </c>
    </row>
    <row r="480" spans="4:57" x14ac:dyDescent="0.3">
      <c r="D480" s="5">
        <v>3.1548161288776022E-2</v>
      </c>
      <c r="E480" s="5">
        <v>-2.2910888701314414E-2</v>
      </c>
      <c r="F480" s="5">
        <v>5.0888494963033493E-2</v>
      </c>
      <c r="G480" s="5">
        <v>1.736111111111116E-2</v>
      </c>
      <c r="H480" s="25" cm="1">
        <f t="array" ref="H480">MMULT($D480:$G480,H$459:H$462)</f>
        <v>1.9221719665401565E-2</v>
      </c>
      <c r="I480" s="25" cm="1">
        <f t="array" ref="I480">MMULT($D480:$G480,I$459:I$462)</f>
        <v>1.1328369054304926E-2</v>
      </c>
      <c r="J480" s="25" cm="1">
        <f t="array" ref="J480">MMULT($D480:$G480,J$459:J$462)</f>
        <v>3.7307440521920998E-3</v>
      </c>
      <c r="K480" s="25" cm="1">
        <f t="array" ref="K480">MMULT($D480:$G480,K$459:K$462)</f>
        <v>2.9642174336352807E-2</v>
      </c>
      <c r="L480" s="25" cm="1">
        <f t="array" ref="L480">MMULT($D480:$G480,L$459:L$462)</f>
        <v>1.838619684941261E-2</v>
      </c>
      <c r="M480" s="25" cm="1">
        <f t="array" ref="M480">MMULT($D480:$G480,M$459:M$462)</f>
        <v>1.8757134222383152E-2</v>
      </c>
      <c r="N480" s="25" cm="1">
        <f t="array" ref="N480">MMULT($D480:$G480,N$459:N$462)</f>
        <v>1.1922253976079907E-2</v>
      </c>
      <c r="O480" s="25" cm="1">
        <f t="array" ref="O480">MMULT($D480:$G480,O$459:O$462)</f>
        <v>2.395766903079144E-2</v>
      </c>
      <c r="P480" s="25" cm="1">
        <f t="array" ref="P480">MMULT($D480:$G480,P$459:P$462)</f>
        <v>3.4238607061348167E-2</v>
      </c>
      <c r="Q480" s="25" cm="1">
        <f t="array" ref="Q480">MMULT($D480:$G480,Q$459:Q$462)</f>
        <v>1.4688600924158952E-2</v>
      </c>
      <c r="R480" s="25" cm="1">
        <f t="array" ref="R480">MMULT($D480:$G480,R$459:R$462)</f>
        <v>1.996866984999222E-2</v>
      </c>
      <c r="S480" s="25" cm="1">
        <f t="array" ref="S480">MMULT($D480:$G480,S$459:S$462)</f>
        <v>2.1882095327494945E-2</v>
      </c>
      <c r="T480" s="25" cm="1">
        <f t="array" ref="T480">MMULT($D480:$G480,T$459:T$462)</f>
        <v>1.4901055738632568E-2</v>
      </c>
      <c r="U480" s="25" cm="1">
        <f t="array" ref="U480">MMULT($D480:$G480,U$459:U$462)</f>
        <v>1.9668887532286607E-2</v>
      </c>
      <c r="V480" s="25" cm="1">
        <f t="array" ref="V480">MMULT($D480:$G480,V$459:V$462)</f>
        <v>1.4960360994166748E-2</v>
      </c>
      <c r="W480" s="25" cm="1">
        <f t="array" ref="W480">MMULT($D480:$G480,W$459:W$462)</f>
        <v>1.4998307451657021E-2</v>
      </c>
      <c r="X480" s="25" cm="1">
        <f t="array" ref="X480">MMULT($D480:$G480,X$459:X$462)</f>
        <v>3.4325783349104813E-2</v>
      </c>
      <c r="Y480" s="25" cm="1">
        <f t="array" ref="Y480">MMULT($D480:$G480,Y$459:Y$462)</f>
        <v>4.2953024545747814E-3</v>
      </c>
      <c r="Z480" s="25" cm="1">
        <f t="array" ref="Z480">MMULT($D480:$G480,Z$459:Z$462)</f>
        <v>2.8198642281269535E-2</v>
      </c>
      <c r="AA480" s="25" cm="1">
        <f t="array" ref="AA480">MMULT($D480:$G480,AA$459:AA$462)</f>
        <v>1.6217614105752121E-2</v>
      </c>
      <c r="AB480" s="25" cm="1">
        <f t="array" ref="AB480">MMULT($D480:$G480,AB$459:AB$462)</f>
        <v>1.6234775662022236E-2</v>
      </c>
      <c r="AC480" s="25" cm="1">
        <f t="array" ref="AC480">MMULT($D480:$G480,AC$459:AC$462)</f>
        <v>2.9734387306677448E-2</v>
      </c>
      <c r="AD480" s="25" cm="1">
        <f t="array" ref="AD480">MMULT($D480:$G480,AD$459:AD$462)</f>
        <v>1.8226050929823261E-2</v>
      </c>
      <c r="AE480" s="25" cm="1">
        <f t="array" ref="AE480">MMULT($D480:$G480,AE$459:AE$462)</f>
        <v>2.1484948551096117E-2</v>
      </c>
      <c r="AF480" s="25" cm="1">
        <f t="array" ref="AF480">MMULT($D480:$G480,AF$459:AF$462)</f>
        <v>3.872911436788485E-2</v>
      </c>
      <c r="AG480" s="25" cm="1">
        <f t="array" ref="AG480">MMULT($D480:$G480,AG$459:AG$462)</f>
        <v>2.2229693975345265E-2</v>
      </c>
      <c r="AH480" s="25" cm="1">
        <f t="array" ref="AH480">MMULT($D480:$G480,AH$459:AH$462)</f>
        <v>2.2445824154572754E-2</v>
      </c>
      <c r="AI480" s="25" cm="1">
        <f t="array" ref="AI480">MMULT($D480:$G480,AI$459:AI$462)</f>
        <v>2.3667289624463655E-2</v>
      </c>
      <c r="AJ480" s="25" cm="1">
        <f t="array" ref="AJ480">MMULT($D480:$G480,AJ$459:AJ$462)</f>
        <v>1.507536677407021E-2</v>
      </c>
      <c r="AK480" s="25" cm="1">
        <f t="array" ref="AK480">MMULT($D480:$G480,AK$459:AK$462)</f>
        <v>2.1371694745428833E-2</v>
      </c>
      <c r="AL480" s="25" cm="1">
        <f t="array" ref="AL480">MMULT($D480:$G480,AL$459:AL$462)</f>
        <v>2.4226994976902741E-2</v>
      </c>
      <c r="AM480" s="25" cm="1">
        <f t="array" ref="AM480">MMULT($D480:$G480,AM$459:AM$462)</f>
        <v>3.3589578327049147E-2</v>
      </c>
      <c r="AN480" s="25" cm="1">
        <f t="array" ref="AN480">MMULT($D480:$G480,AN$459:AN$462)</f>
        <v>1.9982306512519209E-2</v>
      </c>
      <c r="AO480" s="25" cm="1">
        <f t="array" ref="AO480">MMULT($D480:$G480,AO$459:AO$462)</f>
        <v>9.7578387666836016E-3</v>
      </c>
      <c r="AP480" s="25" cm="1">
        <f t="array" ref="AP480">MMULT($D480:$G480,AP$459:AP$462)</f>
        <v>3.340260217839653E-2</v>
      </c>
      <c r="AQ480" s="25" cm="1">
        <f t="array" ref="AQ480">MMULT($D480:$G480,AQ$459:AQ$462)</f>
        <v>3.0392810998977747E-2</v>
      </c>
      <c r="AR480" s="25" cm="1">
        <f t="array" ref="AR480">MMULT($D480:$G480,AR$459:AR$462)</f>
        <v>3.9004374507744966E-2</v>
      </c>
      <c r="AS480" s="25" cm="1">
        <f t="array" ref="AS480">MMULT($D480:$G480,AS$459:AS$462)</f>
        <v>2.2230622825304466E-2</v>
      </c>
      <c r="AT480" s="25" cm="1">
        <f t="array" ref="AT480">MMULT($D480:$G480,AT$459:AT$462)</f>
        <v>1.6293467297447586E-2</v>
      </c>
      <c r="AU480" s="25" cm="1">
        <f t="array" ref="AU480">MMULT($D480:$G480,AU$459:AU$462)</f>
        <v>1.4390396916663592E-3</v>
      </c>
      <c r="AV480" s="25" cm="1">
        <f t="array" ref="AV480">MMULT($D480:$G480,AV$459:AV$462)</f>
        <v>5.6182152375084246E-3</v>
      </c>
      <c r="AW480" s="25" cm="1">
        <f t="array" ref="AW480">MMULT($D480:$G480,AW$459:AW$462)</f>
        <v>-1.6357659241335743E-3</v>
      </c>
      <c r="AX480" s="25" cm="1">
        <f t="array" ref="AX480">MMULT($D480:$G480,AX$459:AX$462)</f>
        <v>1.0892429907239168E-3</v>
      </c>
      <c r="AY480" s="25" cm="1">
        <f t="array" ref="AY480">MMULT($D480:$G480,AY$459:AY$462)</f>
        <v>-1.1019735570189128E-3</v>
      </c>
      <c r="AZ480" s="25" cm="1">
        <f t="array" ref="AZ480">MMULT($D480:$G480,AZ$459:AZ$462)</f>
        <v>2.421872818042654E-2</v>
      </c>
      <c r="BA480" s="25" cm="1">
        <f t="array" ref="BA480">MMULT($D480:$G480,BA$459:BA$462)</f>
        <v>2.5381487151987417E-2</v>
      </c>
      <c r="BB480" s="25" cm="1">
        <f t="array" ref="BB480">MMULT($D480:$G480,BB$459:BB$462)</f>
        <v>1.4916757426628001E-2</v>
      </c>
      <c r="BC480" s="25" cm="1">
        <f t="array" ref="BC480">MMULT($D480:$G480,BC$459:BC$462)</f>
        <v>2.1240249956003446E-2</v>
      </c>
      <c r="BD480" s="25" cm="1">
        <f t="array" ref="BD480">MMULT($D480:$G480,BD$459:BD$462)</f>
        <v>3.739608028850349E-2</v>
      </c>
      <c r="BE480" s="25" cm="1">
        <f t="array" ref="BE480">MMULT($D480:$G480,BE$459:BE$462)</f>
        <v>2.1352829132955983E-2</v>
      </c>
    </row>
    <row r="481" spans="3:57" x14ac:dyDescent="0.3">
      <c r="D481" s="5">
        <v>-5.5658842667906105E-2</v>
      </c>
      <c r="E481" s="5">
        <v>-1.3575219054671073E-2</v>
      </c>
      <c r="F481" s="5">
        <v>4.2993499547436809E-2</v>
      </c>
      <c r="G481" s="5">
        <v>-0.1023890784982936</v>
      </c>
      <c r="H481" s="25" cm="1">
        <f t="array" ref="H481">MMULT($D481:$G481,H$459:H$462)</f>
        <v>-3.2157410168358491E-2</v>
      </c>
      <c r="I481" s="25" cm="1">
        <f t="array" ref="I481">MMULT($D481:$G481,I$459:I$462)</f>
        <v>-2.817352894739052E-2</v>
      </c>
      <c r="J481" s="25" cm="1">
        <f t="array" ref="J481">MMULT($D481:$G481,J$459:J$462)</f>
        <v>-1.4091935466090829E-2</v>
      </c>
      <c r="K481" s="25" cm="1">
        <f t="array" ref="K481">MMULT($D481:$G481,K$459:K$462)</f>
        <v>-3.0816687542295419E-2</v>
      </c>
      <c r="L481" s="25" cm="1">
        <f t="array" ref="L481">MMULT($D481:$G481,L$459:L$462)</f>
        <v>-4.2516296956784681E-2</v>
      </c>
      <c r="M481" s="25" cm="1">
        <f t="array" ref="M481">MMULT($D481:$G481,M$459:M$462)</f>
        <v>-6.064945523431528E-2</v>
      </c>
      <c r="N481" s="25" cm="1">
        <f t="array" ref="N481">MMULT($D481:$G481,N$459:N$462)</f>
        <v>-5.1192546141756182E-2</v>
      </c>
      <c r="O481" s="25" cm="1">
        <f t="array" ref="O481">MMULT($D481:$G481,O$459:O$462)</f>
        <v>-2.240257944359017E-4</v>
      </c>
      <c r="P481" s="25" cm="1">
        <f t="array" ref="P481">MMULT($D481:$G481,P$459:P$462)</f>
        <v>-1.2564141348069359E-2</v>
      </c>
      <c r="Q481" s="25" cm="1">
        <f t="array" ref="Q481">MMULT($D481:$G481,Q$459:Q$462)</f>
        <v>-9.750163223772302E-3</v>
      </c>
      <c r="R481" s="25" cm="1">
        <f t="array" ref="R481">MMULT($D481:$G481,R$459:R$462)</f>
        <v>-5.0882063642178163E-2</v>
      </c>
      <c r="S481" s="25" cm="1">
        <f t="array" ref="S481">MMULT($D481:$G481,S$459:S$462)</f>
        <v>-6.6968126470083461E-2</v>
      </c>
      <c r="T481" s="25" cm="1">
        <f t="array" ref="T481">MMULT($D481:$G481,T$459:T$462)</f>
        <v>-2.2384711686307991E-2</v>
      </c>
      <c r="U481" s="25" cm="1">
        <f t="array" ref="U481">MMULT($D481:$G481,U$459:U$462)</f>
        <v>-3.3895083981504641E-2</v>
      </c>
      <c r="V481" s="25" cm="1">
        <f t="array" ref="V481">MMULT($D481:$G481,V$459:V$462)</f>
        <v>-4.3719164742510884E-2</v>
      </c>
      <c r="W481" s="25" cm="1">
        <f t="array" ref="W481">MMULT($D481:$G481,W$459:W$462)</f>
        <v>-7.8121460054053826E-3</v>
      </c>
      <c r="X481" s="25" cm="1">
        <f t="array" ref="X481">MMULT($D481:$G481,X$459:X$462)</f>
        <v>8.5504197626488348E-3</v>
      </c>
      <c r="Y481" s="25" cm="1">
        <f t="array" ref="Y481">MMULT($D481:$G481,Y$459:Y$462)</f>
        <v>-1.9264952503636947E-2</v>
      </c>
      <c r="Z481" s="25" cm="1">
        <f t="array" ref="Z481">MMULT($D481:$G481,Z$459:Z$462)</f>
        <v>-4.2622584385983722E-2</v>
      </c>
      <c r="AA481" s="25" cm="1">
        <f t="array" ref="AA481">MMULT($D481:$G481,AA$459:AA$462)</f>
        <v>-6.8970867715496847E-2</v>
      </c>
      <c r="AB481" s="25" cm="1">
        <f t="array" ref="AB481">MMULT($D481:$G481,AB$459:AB$462)</f>
        <v>-5.1757168835617678E-2</v>
      </c>
      <c r="AC481" s="25" cm="1">
        <f t="array" ref="AC481">MMULT($D481:$G481,AC$459:AC$462)</f>
        <v>-2.1465738477633584E-2</v>
      </c>
      <c r="AD481" s="25" cm="1">
        <f t="array" ref="AD481">MMULT($D481:$G481,AD$459:AD$462)</f>
        <v>-7.7817612827487115E-2</v>
      </c>
      <c r="AE481" s="25" cm="1">
        <f t="array" ref="AE481">MMULT($D481:$G481,AE$459:AE$462)</f>
        <v>-4.8410763874299656E-2</v>
      </c>
      <c r="AF481" s="25" cm="1">
        <f t="array" ref="AF481">MMULT($D481:$G481,AF$459:AF$462)</f>
        <v>-7.8530368318622708E-3</v>
      </c>
      <c r="AG481" s="25" cm="1">
        <f t="array" ref="AG481">MMULT($D481:$G481,AG$459:AG$462)</f>
        <v>-5.6384672956265418E-2</v>
      </c>
      <c r="AH481" s="25" cm="1">
        <f t="array" ref="AH481">MMULT($D481:$G481,AH$459:AH$462)</f>
        <v>-2.8447760659613595E-2</v>
      </c>
      <c r="AI481" s="25" cm="1">
        <f t="array" ref="AI481">MMULT($D481:$G481,AI$459:AI$462)</f>
        <v>-4.7791296566714873E-2</v>
      </c>
      <c r="AJ481" s="25" cm="1">
        <f t="array" ref="AJ481">MMULT($D481:$G481,AJ$459:AJ$462)</f>
        <v>-2.1463619188950043E-2</v>
      </c>
      <c r="AK481" s="25" cm="1">
        <f t="array" ref="AK481">MMULT($D481:$G481,AK$459:AK$462)</f>
        <v>-4.3399321196967558E-2</v>
      </c>
      <c r="AL481" s="25" cm="1">
        <f t="array" ref="AL481">MMULT($D481:$G481,AL$459:AL$462)</f>
        <v>-4.2139638385600899E-2</v>
      </c>
      <c r="AM481" s="25" cm="1">
        <f t="array" ref="AM481">MMULT($D481:$G481,AM$459:AM$462)</f>
        <v>-2.7334461878733618E-2</v>
      </c>
      <c r="AN481" s="25" cm="1">
        <f t="array" ref="AN481">MMULT($D481:$G481,AN$459:AN$462)</f>
        <v>-4.4452078472841369E-2</v>
      </c>
      <c r="AO481" s="25" cm="1">
        <f t="array" ref="AO481">MMULT($D481:$G481,AO$459:AO$462)</f>
        <v>-5.9290170851123231E-2</v>
      </c>
      <c r="AP481" s="25" cm="1">
        <f t="array" ref="AP481">MMULT($D481:$G481,AP$459:AP$462)</f>
        <v>8.2720590966225225E-3</v>
      </c>
      <c r="AQ481" s="25" cm="1">
        <f t="array" ref="AQ481">MMULT($D481:$G481,AQ$459:AQ$462)</f>
        <v>-3.9154389415760806E-2</v>
      </c>
      <c r="AR481" s="25" cm="1">
        <f t="array" ref="AR481">MMULT($D481:$G481,AR$459:AR$462)</f>
        <v>9.483179898618254E-3</v>
      </c>
      <c r="AS481" s="25" cm="1">
        <f t="array" ref="AS481">MMULT($D481:$G481,AS$459:AS$462)</f>
        <v>-6.807458562341967E-2</v>
      </c>
      <c r="AT481" s="25" cm="1">
        <f t="array" ref="AT481">MMULT($D481:$G481,AT$459:AT$462)</f>
        <v>-3.1216480270425208E-2</v>
      </c>
      <c r="AU481" s="25" cm="1">
        <f t="array" ref="AU481">MMULT($D481:$G481,AU$459:AU$462)</f>
        <v>-4.3449447482941023E-2</v>
      </c>
      <c r="AV481" s="25" cm="1">
        <f t="array" ref="AV481">MMULT($D481:$G481,AV$459:AV$462)</f>
        <v>-5.1901582515260877E-2</v>
      </c>
      <c r="AW481" s="25" cm="1">
        <f t="array" ref="AW481">MMULT($D481:$G481,AW$459:AW$462)</f>
        <v>-4.1723174600602165E-3</v>
      </c>
      <c r="AX481" s="25" cm="1">
        <f t="array" ref="AX481">MMULT($D481:$G481,AX$459:AX$462)</f>
        <v>-6.0445409341254509E-2</v>
      </c>
      <c r="AY481" s="25" cm="1">
        <f t="array" ref="AY481">MMULT($D481:$G481,AY$459:AY$462)</f>
        <v>-4.3162551156637391E-2</v>
      </c>
      <c r="AZ481" s="25" cm="1">
        <f t="array" ref="AZ481">MMULT($D481:$G481,AZ$459:AZ$462)</f>
        <v>-4.832525777839302E-2</v>
      </c>
      <c r="BA481" s="25" cm="1">
        <f t="array" ref="BA481">MMULT($D481:$G481,BA$459:BA$462)</f>
        <v>-6.1085776866100179E-2</v>
      </c>
      <c r="BB481" s="25" cm="1">
        <f t="array" ref="BB481">MMULT($D481:$G481,BB$459:BB$462)</f>
        <v>5.429491296947456E-3</v>
      </c>
      <c r="BC481" s="25" cm="1">
        <f t="array" ref="BC481">MMULT($D481:$G481,BC$459:BC$462)</f>
        <v>-6.6507188350936164E-2</v>
      </c>
      <c r="BD481" s="25" cm="1">
        <f t="array" ref="BD481">MMULT($D481:$G481,BD$459:BD$462)</f>
        <v>5.3024344313449059E-3</v>
      </c>
      <c r="BE481" s="25" cm="1">
        <f t="array" ref="BE481">MMULT($D481:$G481,BE$459:BE$462)</f>
        <v>-4.1441351576927674E-2</v>
      </c>
    </row>
    <row r="482" spans="3:57" x14ac:dyDescent="0.3">
      <c r="D482" s="5">
        <v>4.2106558385627935E-2</v>
      </c>
      <c r="E482" s="5">
        <v>-3.0339046665832758E-2</v>
      </c>
      <c r="F482" s="5">
        <v>-3.1241371149066999E-2</v>
      </c>
      <c r="G482" s="5">
        <v>-7.6045627376425395E-3</v>
      </c>
      <c r="H482" s="25" cm="1">
        <f t="array" ref="H482">MMULT($D482:$G482,H$459:H$462)</f>
        <v>-6.7696055417285905E-3</v>
      </c>
      <c r="I482" s="25" cm="1">
        <f t="array" ref="I482">MMULT($D482:$G482,I$459:I$462)</f>
        <v>-1.6401072181289434E-2</v>
      </c>
      <c r="J482" s="25" cm="1">
        <f t="array" ref="J482">MMULT($D482:$G482,J$459:J$462)</f>
        <v>-1.9733386320024623E-2</v>
      </c>
      <c r="K482" s="25" cm="1">
        <f t="array" ref="K482">MMULT($D482:$G482,K$459:K$462)</f>
        <v>-8.3034862006937313E-3</v>
      </c>
      <c r="L482" s="25" cm="1">
        <f t="array" ref="L482">MMULT($D482:$G482,L$459:L$462)</f>
        <v>1.1020451331317297E-2</v>
      </c>
      <c r="M482" s="25" cm="1">
        <f t="array" ref="M482">MMULT($D482:$G482,M$459:M$462)</f>
        <v>1.444430546615166E-2</v>
      </c>
      <c r="N482" s="25" cm="1">
        <f t="array" ref="N482">MMULT($D482:$G482,N$459:N$462)</f>
        <v>-3.4831607354504834E-3</v>
      </c>
      <c r="O482" s="25" cm="1">
        <f t="array" ref="O482">MMULT($D482:$G482,O$459:O$462)</f>
        <v>-2.6375470629014554E-2</v>
      </c>
      <c r="P482" s="25" cm="1">
        <f t="array" ref="P482">MMULT($D482:$G482,P$459:P$462)</f>
        <v>1.3487124501656057E-3</v>
      </c>
      <c r="Q482" s="25" cm="1">
        <f t="array" ref="Q482">MMULT($D482:$G482,Q$459:Q$462)</f>
        <v>-1.6473879266980133E-2</v>
      </c>
      <c r="R482" s="25" cm="1">
        <f t="array" ref="R482">MMULT($D482:$G482,R$459:R$462)</f>
        <v>1.0735159050552513E-2</v>
      </c>
      <c r="S482" s="25" cm="1">
        <f t="array" ref="S482">MMULT($D482:$G482,S$459:S$462)</f>
        <v>-5.5128696363367456E-3</v>
      </c>
      <c r="T482" s="25" cm="1">
        <f t="array" ref="T482">MMULT($D482:$G482,T$459:T$462)</f>
        <v>-7.3843475261202727E-3</v>
      </c>
      <c r="U482" s="25" cm="1">
        <f t="array" ref="U482">MMULT($D482:$G482,U$459:U$462)</f>
        <v>1.4001480853460485E-2</v>
      </c>
      <c r="V482" s="25" cm="1">
        <f t="array" ref="V482">MMULT($D482:$G482,V$459:V$462)</f>
        <v>-9.1851552715249401E-3</v>
      </c>
      <c r="W482" s="25" cm="1">
        <f t="array" ref="W482">MMULT($D482:$G482,W$459:W$462)</f>
        <v>-1.243056011883429E-2</v>
      </c>
      <c r="X482" s="25" cm="1">
        <f t="array" ref="X482">MMULT($D482:$G482,X$459:X$462)</f>
        <v>-1.840379407221995E-2</v>
      </c>
      <c r="Y482" s="25" cm="1">
        <f t="array" ref="Y482">MMULT($D482:$G482,Y$459:Y$462)</f>
        <v>-2.248676667233953E-2</v>
      </c>
      <c r="Z482" s="25" cm="1">
        <f t="array" ref="Z482">MMULT($D482:$G482,Z$459:Z$462)</f>
        <v>1.4743076856570737E-2</v>
      </c>
      <c r="AA482" s="25" cm="1">
        <f t="array" ref="AA482">MMULT($D482:$G482,AA$459:AA$462)</f>
        <v>3.9689748009588081E-4</v>
      </c>
      <c r="AB482" s="25" cm="1">
        <f t="array" ref="AB482">MMULT($D482:$G482,AB$459:AB$462)</f>
        <v>-1.1855717899444347E-2</v>
      </c>
      <c r="AC482" s="25" cm="1">
        <f t="array" ref="AC482">MMULT($D482:$G482,AC$459:AC$462)</f>
        <v>-1.4511545543097791E-2</v>
      </c>
      <c r="AD482" s="25" cm="1">
        <f t="array" ref="AD482">MMULT($D482:$G482,AD$459:AD$462)</f>
        <v>2.4954204222397292E-3</v>
      </c>
      <c r="AE482" s="25" cm="1">
        <f t="array" ref="AE482">MMULT($D482:$G482,AE$459:AE$462)</f>
        <v>5.1912546687182572E-3</v>
      </c>
      <c r="AF482" s="25" cm="1">
        <f t="array" ref="AF482">MMULT($D482:$G482,AF$459:AF$462)</f>
        <v>-1.6995448158893006E-2</v>
      </c>
      <c r="AG482" s="25" cm="1">
        <f t="array" ref="AG482">MMULT($D482:$G482,AG$459:AG$462)</f>
        <v>1.8671452356672454E-2</v>
      </c>
      <c r="AH482" s="25" cm="1">
        <f t="array" ref="AH482">MMULT($D482:$G482,AH$459:AH$462)</f>
        <v>8.8370791663727397E-3</v>
      </c>
      <c r="AI482" s="25" cm="1">
        <f t="array" ref="AI482">MMULT($D482:$G482,AI$459:AI$462)</f>
        <v>2.2083710892243258E-2</v>
      </c>
      <c r="AJ482" s="25" cm="1">
        <f t="array" ref="AJ482">MMULT($D482:$G482,AJ$459:AJ$462)</f>
        <v>-1.560396920331799E-2</v>
      </c>
      <c r="AK482" s="25" cm="1">
        <f t="array" ref="AK482">MMULT($D482:$G482,AK$459:AK$462)</f>
        <v>1.1230617269879006E-2</v>
      </c>
      <c r="AL482" s="25" cm="1">
        <f t="array" ref="AL482">MMULT($D482:$G482,AL$459:AL$462)</f>
        <v>2.1603532364165876E-2</v>
      </c>
      <c r="AM482" s="25" cm="1">
        <f t="array" ref="AM482">MMULT($D482:$G482,AM$459:AM$462)</f>
        <v>-8.0775086745744663E-3</v>
      </c>
      <c r="AN482" s="25" cm="1">
        <f t="array" ref="AN482">MMULT($D482:$G482,AN$459:AN$462)</f>
        <v>-1.0285745919843665E-2</v>
      </c>
      <c r="AO482" s="25" cm="1">
        <f t="array" ref="AO482">MMULT($D482:$G482,AO$459:AO$462)</f>
        <v>-8.778993850668675E-3</v>
      </c>
      <c r="AP482" s="25" cm="1">
        <f t="array" ref="AP482">MMULT($D482:$G482,AP$459:AP$462)</f>
        <v>-1.6793267269646535E-2</v>
      </c>
      <c r="AQ482" s="25" cm="1">
        <f t="array" ref="AQ482">MMULT($D482:$G482,AQ$459:AQ$462)</f>
        <v>-3.3345157965582509E-3</v>
      </c>
      <c r="AR482" s="25" cm="1">
        <f t="array" ref="AR482">MMULT($D482:$G482,AR$459:AR$462)</f>
        <v>-1.1952374357170158E-2</v>
      </c>
      <c r="AS482" s="25" cm="1">
        <f t="array" ref="AS482">MMULT($D482:$G482,AS$459:AS$462)</f>
        <v>1.2677168259565939E-2</v>
      </c>
      <c r="AT482" s="25" cm="1">
        <f t="array" ref="AT482">MMULT($D482:$G482,AT$459:AT$462)</f>
        <v>-1.9111691212258586E-2</v>
      </c>
      <c r="AU482" s="25" cm="1">
        <f t="array" ref="AU482">MMULT($D482:$G482,AU$459:AU$462)</f>
        <v>-1.3515130942921567E-2</v>
      </c>
      <c r="AV482" s="25" cm="1">
        <f t="array" ref="AV482">MMULT($D482:$G482,AV$459:AV$462)</f>
        <v>-5.3455498368474019E-3</v>
      </c>
      <c r="AW482" s="25" cm="1">
        <f t="array" ref="AW482">MMULT($D482:$G482,AW$459:AW$462)</f>
        <v>-2.7785065120019853E-2</v>
      </c>
      <c r="AX482" s="25" cm="1">
        <f t="array" ref="AX482">MMULT($D482:$G482,AX$459:AX$462)</f>
        <v>-1.4301755844828817E-2</v>
      </c>
      <c r="AY482" s="25" cm="1">
        <f t="array" ref="AY482">MMULT($D482:$G482,AY$459:AY$462)</f>
        <v>-1.5220257209056403E-2</v>
      </c>
      <c r="AZ482" s="25" cm="1">
        <f t="array" ref="AZ482">MMULT($D482:$G482,AZ$459:AZ$462)</f>
        <v>1.3877344607443215E-2</v>
      </c>
      <c r="BA482" s="25" cm="1">
        <f t="array" ref="BA482">MMULT($D482:$G482,BA$459:BA$462)</f>
        <v>1.3856105387590432E-4</v>
      </c>
      <c r="BB482" s="25" cm="1">
        <f t="array" ref="BB482">MMULT($D482:$G482,BB$459:BB$462)</f>
        <v>-2.5192596986250884E-2</v>
      </c>
      <c r="BC482" s="25" cm="1">
        <f t="array" ref="BC482">MMULT($D482:$G482,BC$459:BC$462)</f>
        <v>-1.9870724662065711E-3</v>
      </c>
      <c r="BD482" s="25" cm="1">
        <f t="array" ref="BD482">MMULT($D482:$G482,BD$459:BD$462)</f>
        <v>-2.4556448191876259E-2</v>
      </c>
      <c r="BE482" s="25" cm="1">
        <f t="array" ref="BE482">MMULT($D482:$G482,BE$459:BE$462)</f>
        <v>-1.1389321311440301E-2</v>
      </c>
    </row>
    <row r="483" spans="3:57" x14ac:dyDescent="0.3">
      <c r="D483" s="5">
        <v>-4.6285363434562798E-3</v>
      </c>
      <c r="E483" s="5">
        <v>-6.7027933681697904E-2</v>
      </c>
      <c r="F483" s="5">
        <v>-1.4088521519605934E-2</v>
      </c>
      <c r="G483" s="5">
        <v>7.6628352490422103E-3</v>
      </c>
      <c r="H483" s="25" cm="1">
        <f t="array" ref="H483">MMULT($D483:$G483,H$459:H$462)</f>
        <v>-1.9520539073929477E-2</v>
      </c>
      <c r="I483" s="25" cm="1">
        <f t="array" ref="I483">MMULT($D483:$G483,I$459:I$462)</f>
        <v>-2.7825598726392189E-2</v>
      </c>
      <c r="J483" s="25" cm="1">
        <f t="array" ref="J483">MMULT($D483:$G483,J$459:J$462)</f>
        <v>-4.0960702098238121E-2</v>
      </c>
      <c r="K483" s="25" cm="1">
        <f t="array" ref="K483">MMULT($D483:$G483,K$459:K$462)</f>
        <v>-9.0869269793588843E-3</v>
      </c>
      <c r="L483" s="25" cm="1">
        <f t="array" ref="L483">MMULT($D483:$G483,L$459:L$462)</f>
        <v>-1.8846344742412008E-2</v>
      </c>
      <c r="M483" s="25" cm="1">
        <f t="array" ref="M483">MMULT($D483:$G483,M$459:M$462)</f>
        <v>-1.1509554598908851E-2</v>
      </c>
      <c r="N483" s="25" cm="1">
        <f t="array" ref="N483">MMULT($D483:$G483,N$459:N$462)</f>
        <v>-1.9703991085543104E-2</v>
      </c>
      <c r="O483" s="25" cm="1">
        <f t="array" ref="O483">MMULT($D483:$G483,O$459:O$462)</f>
        <v>-2.4791966784227595E-2</v>
      </c>
      <c r="P483" s="25" cm="1">
        <f t="array" ref="P483">MMULT($D483:$G483,P$459:P$462)</f>
        <v>-1.3360229195910718E-2</v>
      </c>
      <c r="Q483" s="25" cm="1">
        <f t="array" ref="Q483">MMULT($D483:$G483,Q$459:Q$462)</f>
        <v>-3.1948331745351763E-2</v>
      </c>
      <c r="R483" s="25" cm="1">
        <f t="array" ref="R483">MMULT($D483:$G483,R$459:R$462)</f>
        <v>-1.3718474796490618E-2</v>
      </c>
      <c r="S483" s="25" cm="1">
        <f t="array" ref="S483">MMULT($D483:$G483,S$459:S$462)</f>
        <v>-2.6078677481409102E-3</v>
      </c>
      <c r="T483" s="25" cm="1">
        <f t="array" ref="T483">MMULT($D483:$G483,T$459:T$462)</f>
        <v>-2.7915327865755214E-2</v>
      </c>
      <c r="U483" s="25" cm="1">
        <f t="array" ref="U483">MMULT($D483:$G483,U$459:U$462)</f>
        <v>-2.1538433724140209E-2</v>
      </c>
      <c r="V483" s="25" cm="1">
        <f t="array" ref="V483">MMULT($D483:$G483,V$459:V$462)</f>
        <v>-1.8775396557856251E-2</v>
      </c>
      <c r="W483" s="25" cm="1">
        <f t="array" ref="W483">MMULT($D483:$G483,W$459:W$462)</f>
        <v>-3.3050509739721651E-2</v>
      </c>
      <c r="X483" s="25" cm="1">
        <f t="array" ref="X483">MMULT($D483:$G483,X$459:X$462)</f>
        <v>-1.8941832773957057E-2</v>
      </c>
      <c r="Y483" s="25" cm="1">
        <f t="array" ref="Y483">MMULT($D483:$G483,Y$459:Y$462)</f>
        <v>-3.7820421003885427E-2</v>
      </c>
      <c r="Z483" s="25" cm="1">
        <f t="array" ref="Z483">MMULT($D483:$G483,Z$459:Z$462)</f>
        <v>-9.2518768977626585E-3</v>
      </c>
      <c r="AA483" s="25" cm="1">
        <f t="array" ref="AA483">MMULT($D483:$G483,AA$459:AA$462)</f>
        <v>-8.5349887599549083E-3</v>
      </c>
      <c r="AB483" s="25" cm="1">
        <f t="array" ref="AB483">MMULT($D483:$G483,AB$459:AB$462)</f>
        <v>-1.3733538447475303E-2</v>
      </c>
      <c r="AC483" s="25" cm="1">
        <f t="array" ref="AC483">MMULT($D483:$G483,AC$459:AC$462)</f>
        <v>-1.189432217126358E-2</v>
      </c>
      <c r="AD483" s="25" cm="1">
        <f t="array" ref="AD483">MMULT($D483:$G483,AD$459:AD$462)</f>
        <v>-3.1360307309319648E-3</v>
      </c>
      <c r="AE483" s="25" cm="1">
        <f t="array" ref="AE483">MMULT($D483:$G483,AE$459:AE$462)</f>
        <v>-1.2320628758181023E-2</v>
      </c>
      <c r="AF483" s="25" cm="1">
        <f t="array" ref="AF483">MMULT($D483:$G483,AF$459:AF$462)</f>
        <v>-7.8483147090669392E-3</v>
      </c>
      <c r="AG483" s="25" cm="1">
        <f t="array" ref="AG483">MMULT($D483:$G483,AG$459:AG$462)</f>
        <v>-1.0336845143783274E-2</v>
      </c>
      <c r="AH483" s="25" cm="1">
        <f t="array" ref="AH483">MMULT($D483:$G483,AH$459:AH$462)</f>
        <v>-2.0126146475583327E-2</v>
      </c>
      <c r="AI483" s="25" cm="1">
        <f t="array" ref="AI483">MMULT($D483:$G483,AI$459:AI$462)</f>
        <v>-1.2923990361495703E-2</v>
      </c>
      <c r="AJ483" s="25" cm="1">
        <f t="array" ref="AJ483">MMULT($D483:$G483,AJ$459:AJ$462)</f>
        <v>-2.6850711533238598E-2</v>
      </c>
      <c r="AK483" s="25" cm="1">
        <f t="array" ref="AK483">MMULT($D483:$G483,AK$459:AK$462)</f>
        <v>-1.5434269517779788E-2</v>
      </c>
      <c r="AL483" s="25" cm="1">
        <f t="array" ref="AL483">MMULT($D483:$G483,AL$459:AL$462)</f>
        <v>-1.4604283082255422E-2</v>
      </c>
      <c r="AM483" s="25" cm="1">
        <f t="array" ref="AM483">MMULT($D483:$G483,AM$459:AM$462)</f>
        <v>-6.4858014962531742E-3</v>
      </c>
      <c r="AN483" s="25" cm="1">
        <f t="array" ref="AN483">MMULT($D483:$G483,AN$459:AN$462)</f>
        <v>-1.3122570499711456E-2</v>
      </c>
      <c r="AO483" s="25" cm="1">
        <f t="array" ref="AO483">MMULT($D483:$G483,AO$459:AO$462)</f>
        <v>-1.7781393354244043E-2</v>
      </c>
      <c r="AP483" s="25" cm="1">
        <f t="array" ref="AP483">MMULT($D483:$G483,AP$459:AP$462)</f>
        <v>-2.0027250693672796E-2</v>
      </c>
      <c r="AQ483" s="25" cm="1">
        <f t="array" ref="AQ483">MMULT($D483:$G483,AQ$459:AQ$462)</f>
        <v>-5.6373274492270645E-3</v>
      </c>
      <c r="AR483" s="25" cm="1">
        <f t="array" ref="AR483">MMULT($D483:$G483,AR$459:AR$462)</f>
        <v>-1.5492481268817651E-2</v>
      </c>
      <c r="AS483" s="25" cm="1">
        <f t="array" ref="AS483">MMULT($D483:$G483,AS$459:AS$462)</f>
        <v>-4.5907849516422638E-3</v>
      </c>
      <c r="AT483" s="25" cm="1">
        <f t="array" ref="AT483">MMULT($D483:$G483,AT$459:AT$462)</f>
        <v>-2.1030661623670597E-2</v>
      </c>
      <c r="AU483" s="25" cm="1">
        <f t="array" ref="AU483">MMULT($D483:$G483,AU$459:AU$462)</f>
        <v>-3.2170254762920528E-2</v>
      </c>
      <c r="AV483" s="25" cm="1">
        <f t="array" ref="AV483">MMULT($D483:$G483,AV$459:AV$462)</f>
        <v>-2.5628734798386794E-2</v>
      </c>
      <c r="AW483" s="25" cm="1">
        <f t="array" ref="AW483">MMULT($D483:$G483,AW$459:AW$462)</f>
        <v>-4.9350747274331884E-2</v>
      </c>
      <c r="AX483" s="25" cm="1">
        <f t="array" ref="AX483">MMULT($D483:$G483,AX$459:AX$462)</f>
        <v>-2.5398316253658199E-2</v>
      </c>
      <c r="AY483" s="25" cm="1">
        <f t="array" ref="AY483">MMULT($D483:$G483,AY$459:AY$462)</f>
        <v>-3.4647787365374154E-2</v>
      </c>
      <c r="AZ483" s="25" cm="1">
        <f t="array" ref="AZ483">MMULT($D483:$G483,AZ$459:AZ$462)</f>
        <v>-1.0872043159368521E-2</v>
      </c>
      <c r="BA483" s="25" cm="1">
        <f t="array" ref="BA483">MMULT($D483:$G483,BA$459:BA$462)</f>
        <v>-2.2939720887403129E-3</v>
      </c>
      <c r="BB483" s="25" cm="1">
        <f t="array" ref="BB483">MMULT($D483:$G483,BB$459:BB$462)</f>
        <v>-3.6633816413845874E-2</v>
      </c>
      <c r="BC483" s="25" cm="1">
        <f t="array" ref="BC483">MMULT($D483:$G483,BC$459:BC$462)</f>
        <v>-4.0027449250262283E-3</v>
      </c>
      <c r="BD483" s="25" cm="1">
        <f t="array" ref="BD483">MMULT($D483:$G483,BD$459:BD$462)</f>
        <v>-1.348752280920482E-2</v>
      </c>
      <c r="BE483" s="25" cm="1">
        <f t="array" ref="BE483">MMULT($D483:$G483,BE$459:BE$462)</f>
        <v>-1.2780893134458659E-2</v>
      </c>
    </row>
    <row r="484" spans="3:57" x14ac:dyDescent="0.3">
      <c r="D484" s="5">
        <v>-1.5278766310794722E-2</v>
      </c>
      <c r="E484" s="5">
        <v>5.2067487207855034E-2</v>
      </c>
      <c r="F484" s="5">
        <v>6.7856110353942123E-2</v>
      </c>
      <c r="G484" s="5">
        <v>-1.1406844106463754E-2</v>
      </c>
      <c r="H484" s="25" cm="1">
        <f t="array" ref="H484">MMULT($D484:$G484,H$459:H$462)</f>
        <v>2.330949678613467E-2</v>
      </c>
      <c r="I484" s="25" cm="1">
        <f t="array" ref="I484">MMULT($D484:$G484,I$459:I$462)</f>
        <v>3.1566518629739644E-2</v>
      </c>
      <c r="J484" s="25" cm="1">
        <f t="array" ref="J484">MMULT($D484:$G484,J$459:J$462)</f>
        <v>4.1711340489842978E-2</v>
      </c>
      <c r="K484" s="25" cm="1">
        <f t="array" ref="K484">MMULT($D484:$G484,K$459:K$462)</f>
        <v>2.2887359290031304E-2</v>
      </c>
      <c r="L484" s="25" cm="1">
        <f t="array" ref="L484">MMULT($D484:$G484,L$459:L$462)</f>
        <v>9.3068651814356227E-3</v>
      </c>
      <c r="M484" s="25" cm="1">
        <f t="array" ref="M484">MMULT($D484:$G484,M$459:M$462)</f>
        <v>-1.6342349626580928E-3</v>
      </c>
      <c r="N484" s="25" cm="1">
        <f t="array" ref="N484">MMULT($D484:$G484,N$459:N$462)</f>
        <v>1.3357101618295949E-2</v>
      </c>
      <c r="O484" s="25" cm="1">
        <f t="array" ref="O484">MMULT($D484:$G484,O$459:O$462)</f>
        <v>4.8418954139450916E-2</v>
      </c>
      <c r="P484" s="25" cm="1">
        <f t="array" ref="P484">MMULT($D484:$G484,P$459:P$462)</f>
        <v>2.6441005717325911E-2</v>
      </c>
      <c r="Q484" s="25" cm="1">
        <f t="array" ref="Q484">MMULT($D484:$G484,Q$459:Q$462)</f>
        <v>4.0304765298221426E-2</v>
      </c>
      <c r="R484" s="25" cm="1">
        <f t="array" ref="R484">MMULT($D484:$G484,R$459:R$462)</f>
        <v>4.9412769798083027E-3</v>
      </c>
      <c r="S484" s="25" cm="1">
        <f t="array" ref="S484">MMULT($D484:$G484,S$459:S$462)</f>
        <v>4.6220535778765358E-3</v>
      </c>
      <c r="T484" s="25" cm="1">
        <f t="array" ref="T484">MMULT($D484:$G484,T$459:T$462)</f>
        <v>2.9327911409883518E-2</v>
      </c>
      <c r="U484" s="25" cm="1">
        <f t="array" ref="U484">MMULT($D484:$G484,U$459:U$462)</f>
        <v>1.1935931528620344E-2</v>
      </c>
      <c r="V484" s="25" cm="1">
        <f t="array" ref="V484">MMULT($D484:$G484,V$459:V$462)</f>
        <v>1.9445905111182556E-2</v>
      </c>
      <c r="W484" s="25" cm="1">
        <f t="array" ref="W484">MMULT($D484:$G484,W$459:W$462)</f>
        <v>3.9200425162725004E-2</v>
      </c>
      <c r="X484" s="25" cm="1">
        <f t="array" ref="X484">MMULT($D484:$G484,X$459:X$462)</f>
        <v>4.6993771970092142E-2</v>
      </c>
      <c r="Y484" s="25" cm="1">
        <f t="array" ref="Y484">MMULT($D484:$G484,Y$459:Y$462)</f>
        <v>4.0378322143028333E-2</v>
      </c>
      <c r="Z484" s="25" cm="1">
        <f t="array" ref="Z484">MMULT($D484:$G484,Z$459:Z$462)</f>
        <v>5.6270554760508695E-3</v>
      </c>
      <c r="AA484" s="25" cm="1">
        <f t="array" ref="AA484">MMULT($D484:$G484,AA$459:AA$462)</f>
        <v>1.6627777672187346E-3</v>
      </c>
      <c r="AB484" s="25" cm="1">
        <f t="array" ref="AB484">MMULT($D484:$G484,AB$459:AB$462)</f>
        <v>1.6497192416006584E-2</v>
      </c>
      <c r="AC484" s="25" cm="1">
        <f t="array" ref="AC484">MMULT($D484:$G484,AC$459:AC$462)</f>
        <v>3.0706354022014021E-2</v>
      </c>
      <c r="AD484" s="25" cm="1">
        <f t="array" ref="AD484">MMULT($D484:$G484,AD$459:AD$462)</f>
        <v>-4.2174745768229025E-3</v>
      </c>
      <c r="AE484" s="25" cm="1">
        <f t="array" ref="AE484">MMULT($D484:$G484,AE$459:AE$462)</f>
        <v>8.6975029726591158E-3</v>
      </c>
      <c r="AF484" s="25" cm="1">
        <f t="array" ref="AF484">MMULT($D484:$G484,AF$459:AF$462)</f>
        <v>3.7213887044734668E-2</v>
      </c>
      <c r="AG484" s="25" cm="1">
        <f t="array" ref="AG484">MMULT($D484:$G484,AG$459:AG$462)</f>
        <v>-2.2227922235312017E-3</v>
      </c>
      <c r="AH484" s="25" cm="1">
        <f t="array" ref="AH484">MMULT($D484:$G484,AH$459:AH$462)</f>
        <v>1.6778776298682654E-2</v>
      </c>
      <c r="AI484" s="25" cm="1">
        <f t="array" ref="AI484">MMULT($D484:$G484,AI$459:AI$462)</f>
        <v>1.4819809147768545E-4</v>
      </c>
      <c r="AJ484" s="25" cm="1">
        <f t="array" ref="AJ484">MMULT($D484:$G484,AJ$459:AJ$462)</f>
        <v>3.3883622920615607E-2</v>
      </c>
      <c r="AK484" s="25" cm="1">
        <f t="array" ref="AK484">MMULT($D484:$G484,AK$459:AK$462)</f>
        <v>8.2202215162178165E-3</v>
      </c>
      <c r="AL484" s="25" cm="1">
        <f t="array" ref="AL484">MMULT($D484:$G484,AL$459:AL$462)</f>
        <v>3.1428514954330937E-3</v>
      </c>
      <c r="AM484" s="25" cm="1">
        <f t="array" ref="AM484">MMULT($D484:$G484,AM$459:AM$462)</f>
        <v>2.382486900503062E-2</v>
      </c>
      <c r="AN484" s="25" cm="1">
        <f t="array" ref="AN484">MMULT($D484:$G484,AN$459:AN$462)</f>
        <v>1.8727220249463473E-2</v>
      </c>
      <c r="AO484" s="25" cm="1">
        <f t="array" ref="AO484">MMULT($D484:$G484,AO$459:AO$462)</f>
        <v>1.2311330863270395E-2</v>
      </c>
      <c r="AP484" s="25" cm="1">
        <f t="array" ref="AP484">MMULT($D484:$G484,AP$459:AP$462)</f>
        <v>4.6211110633157554E-2</v>
      </c>
      <c r="AQ484" s="25" cm="1">
        <f t="array" ref="AQ484">MMULT($D484:$G484,AQ$459:AQ$462)</f>
        <v>1.6050304159707138E-2</v>
      </c>
      <c r="AR484" s="25" cm="1">
        <f t="array" ref="AR484">MMULT($D484:$G484,AR$459:AR$462)</f>
        <v>4.339084223707497E-2</v>
      </c>
      <c r="AS484" s="25" cm="1">
        <f t="array" ref="AS484">MMULT($D484:$G484,AS$459:AS$462)</f>
        <v>-5.1207603665177244E-3</v>
      </c>
      <c r="AT484" s="25" cm="1">
        <f t="array" ref="AT484">MMULT($D484:$G484,AT$459:AT$462)</f>
        <v>3.0498764281906742E-2</v>
      </c>
      <c r="AU484" s="25" cm="1">
        <f t="array" ref="AU484">MMULT($D484:$G484,AU$459:AU$462)</f>
        <v>2.4177820666805211E-2</v>
      </c>
      <c r="AV484" s="25" cm="1">
        <f t="array" ref="AV484">MMULT($D484:$G484,AV$459:AV$462)</f>
        <v>1.5063258764528416E-2</v>
      </c>
      <c r="AW484" s="25" cm="1">
        <f t="array" ref="AW484">MMULT($D484:$G484,AW$459:AW$462)</f>
        <v>5.1720784517530684E-2</v>
      </c>
      <c r="AX484" s="25" cm="1">
        <f t="array" ref="AX484">MMULT($D484:$G484,AX$459:AX$462)</f>
        <v>1.6051637770021009E-2</v>
      </c>
      <c r="AY484" s="25" cm="1">
        <f t="array" ref="AY484">MMULT($D484:$G484,AY$459:AY$462)</f>
        <v>2.5633367960146213E-2</v>
      </c>
      <c r="AZ484" s="25" cm="1">
        <f t="array" ref="AZ484">MMULT($D484:$G484,AZ$459:AZ$462)</f>
        <v>3.8948063798380033E-3</v>
      </c>
      <c r="BA484" s="25" cm="1">
        <f t="array" ref="BA484">MMULT($D484:$G484,BA$459:BA$462)</f>
        <v>4.131376837539732E-3</v>
      </c>
      <c r="BB484" s="25" cm="1">
        <f t="array" ref="BB484">MMULT($D484:$G484,BB$459:BB$462)</f>
        <v>5.2302007619826979E-2</v>
      </c>
      <c r="BC484" s="25" cm="1">
        <f t="array" ref="BC484">MMULT($D484:$G484,BC$459:BC$462)</f>
        <v>3.2018843884882133E-3</v>
      </c>
      <c r="BD484" s="25" cm="1">
        <f t="array" ref="BD484">MMULT($D484:$G484,BD$459:BD$462)</f>
        <v>4.7888247564038949E-2</v>
      </c>
      <c r="BE484" s="25" cm="1">
        <f t="array" ref="BE484">MMULT($D484:$G484,BE$459:BE$462)</f>
        <v>2.0555366952512089E-2</v>
      </c>
    </row>
    <row r="485" spans="3:57" x14ac:dyDescent="0.3">
      <c r="D485" s="5">
        <v>-4.353587433142192E-2</v>
      </c>
      <c r="E485" s="5">
        <v>8.4587578047979006E-2</v>
      </c>
      <c r="F485" s="5">
        <v>1.8216274752475226E-2</v>
      </c>
      <c r="G485" s="5">
        <v>-0.33653846153846156</v>
      </c>
      <c r="H485" s="25" cm="1">
        <f t="array" ref="H485">MMULT($D485:$G485,H$459:H$462)</f>
        <v>-6.9317620767357313E-2</v>
      </c>
      <c r="I485" s="25" cm="1">
        <f t="array" ref="I485">MMULT($D485:$G485,I$459:I$462)</f>
        <v>-5.601629032817286E-2</v>
      </c>
      <c r="J485" s="25" cm="1">
        <f t="array" ref="J485">MMULT($D485:$G485,J$459:J$462)</f>
        <v>1.6300079773484119E-2</v>
      </c>
      <c r="K485" s="25" cm="1">
        <f t="array" ref="K485">MMULT($D485:$G485,K$459:K$462)</f>
        <v>-0.10909969760918027</v>
      </c>
      <c r="L485" s="25" cm="1">
        <f t="array" ref="L485">MMULT($D485:$G485,L$459:L$462)</f>
        <v>-4.6570350416510871E-2</v>
      </c>
      <c r="M485" s="25" cm="1">
        <f t="array" ref="M485">MMULT($D485:$G485,M$459:M$462)</f>
        <v>-0.10662437749764403</v>
      </c>
      <c r="N485" s="25" cm="1">
        <f t="array" ref="N485">MMULT($D485:$G485,N$459:N$462)</f>
        <v>-0.10400336828894696</v>
      </c>
      <c r="O485" s="25" cm="1">
        <f t="array" ref="O485">MMULT($D485:$G485,O$459:O$462)</f>
        <v>-2.9643055474718037E-2</v>
      </c>
      <c r="P485" s="25" cm="1">
        <f t="array" ref="P485">MMULT($D485:$G485,P$459:P$462)</f>
        <v>-2.3758872040254841E-2</v>
      </c>
      <c r="Q485" s="25" cm="1">
        <f t="array" ref="Q485">MMULT($D485:$G485,Q$459:Q$462)</f>
        <v>2.1268094145613023E-3</v>
      </c>
      <c r="R485" s="25" cm="1">
        <f t="array" ref="R485">MMULT($D485:$G485,R$459:R$462)</f>
        <v>-8.5918650262282667E-2</v>
      </c>
      <c r="S485" s="25" cm="1">
        <f t="array" ref="S485">MMULT($D485:$G485,S$459:S$462)</f>
        <v>-0.2098624722219552</v>
      </c>
      <c r="T485" s="25" cm="1">
        <f t="array" ref="T485">MMULT($D485:$G485,T$459:T$462)</f>
        <v>-1.7079990754411467E-2</v>
      </c>
      <c r="U485" s="25" cm="1">
        <f t="array" ref="U485">MMULT($D485:$G485,U$459:U$462)</f>
        <v>-8.1531021816271497E-3</v>
      </c>
      <c r="V485" s="25" cm="1">
        <f t="array" ref="V485">MMULT($D485:$G485,V$459:V$462)</f>
        <v>-0.10582485965948352</v>
      </c>
      <c r="W485" s="25" cm="1">
        <f t="array" ref="W485">MMULT($D485:$G485,W$459:W$462)</f>
        <v>2.1982843608653331E-2</v>
      </c>
      <c r="X485" s="25" cm="1">
        <f t="array" ref="X485">MMULT($D485:$G485,X$459:X$462)</f>
        <v>-8.6366934122016417E-3</v>
      </c>
      <c r="Y485" s="25" cm="1">
        <f t="array" ref="Y485">MMULT($D485:$G485,Y$459:Y$462)</f>
        <v>-1.5082899320402063E-2</v>
      </c>
      <c r="Z485" s="25" cm="1">
        <f t="array" ref="Z485">MMULT($D485:$G485,Z$459:Z$462)</f>
        <v>-7.2011662835665874E-2</v>
      </c>
      <c r="AA485" s="25" cm="1">
        <f t="array" ref="AA485">MMULT($D485:$G485,AA$459:AA$462)</f>
        <v>-0.176155998599444</v>
      </c>
      <c r="AB485" s="25" cm="1">
        <f t="array" ref="AB485">MMULT($D485:$G485,AB$459:AB$462)</f>
        <v>-0.15072021598564977</v>
      </c>
      <c r="AC485" s="25" cm="1">
        <f t="array" ref="AC485">MMULT($D485:$G485,AC$459:AC$462)</f>
        <v>-9.4098457804085239E-2</v>
      </c>
      <c r="AD485" s="25" cm="1">
        <f t="array" ref="AD485">MMULT($D485:$G485,AD$459:AD$462)</f>
        <v>-0.21100512059588988</v>
      </c>
      <c r="AE485" s="25" cm="1">
        <f t="array" ref="AE485">MMULT($D485:$G485,AE$459:AE$462)</f>
        <v>-0.10073350623056741</v>
      </c>
      <c r="AF485" s="25" cm="1">
        <f t="array" ref="AF485">MMULT($D485:$G485,AF$459:AF$462)</f>
        <v>-8.4167662911174349E-2</v>
      </c>
      <c r="AG485" s="25" cm="1">
        <f t="array" ref="AG485">MMULT($D485:$G485,AG$459:AG$462)</f>
        <v>-8.9244830146762141E-2</v>
      </c>
      <c r="AH485" s="25" cm="1">
        <f t="array" ref="AH485">MMULT($D485:$G485,AH$459:AH$462)</f>
        <v>-1.5008535391811127E-2</v>
      </c>
      <c r="AI485" s="25" cm="1">
        <f t="array" ref="AI485">MMULT($D485:$G485,AI$459:AI$462)</f>
        <v>-5.0082446843558143E-2</v>
      </c>
      <c r="AJ485" s="25" cm="1">
        <f t="array" ref="AJ485">MMULT($D485:$G485,AJ$459:AJ$462)</f>
        <v>-4.172420360697162E-2</v>
      </c>
      <c r="AK485" s="25" cm="1">
        <f t="array" ref="AK485">MMULT($D485:$G485,AK$459:AK$462)</f>
        <v>-6.0690658868170856E-2</v>
      </c>
      <c r="AL485" s="25" cm="1">
        <f t="array" ref="AL485">MMULT($D485:$G485,AL$459:AL$462)</f>
        <v>-3.1979583881803643E-2</v>
      </c>
      <c r="AM485" s="25" cm="1">
        <f t="array" ref="AM485">MMULT($D485:$G485,AM$459:AM$462)</f>
        <v>-0.10996616194497172</v>
      </c>
      <c r="AN485" s="25" cm="1">
        <f t="array" ref="AN485">MMULT($D485:$G485,AN$459:AN$462)</f>
        <v>-0.13153960158496583</v>
      </c>
      <c r="AO485" s="25" cm="1">
        <f t="array" ref="AO485">MMULT($D485:$G485,AO$459:AO$462)</f>
        <v>-0.1447819376077488</v>
      </c>
      <c r="AP485" s="25" cm="1">
        <f t="array" ref="AP485">MMULT($D485:$G485,AP$459:AP$462)</f>
        <v>-7.8860911556398808E-4</v>
      </c>
      <c r="AQ485" s="25" cm="1">
        <f t="array" ref="AQ485">MMULT($D485:$G485,AQ$459:AQ$462)</f>
        <v>-0.12755625548172542</v>
      </c>
      <c r="AR485" s="25" cm="1">
        <f t="array" ref="AR485">MMULT($D485:$G485,AR$459:AR$462)</f>
        <v>-1.2967898511450733E-3</v>
      </c>
      <c r="AS485" s="25" cm="1">
        <f t="array" ref="AS485">MMULT($D485:$G485,AS$459:AS$462)</f>
        <v>-0.15452810833471678</v>
      </c>
      <c r="AT485" s="25" cm="1">
        <f t="array" ref="AT485">MMULT($D485:$G485,AT$459:AT$462)</f>
        <v>-9.5839265354360839E-2</v>
      </c>
      <c r="AU485" s="25" cm="1">
        <f t="array" ref="AU485">MMULT($D485:$G485,AU$459:AU$462)</f>
        <v>-6.7611399820595386E-2</v>
      </c>
      <c r="AV485" s="25" cm="1">
        <f t="array" ref="AV485">MMULT($D485:$G485,AV$459:AV$462)</f>
        <v>-8.8890719650299835E-2</v>
      </c>
      <c r="AW485" s="25" cm="1">
        <f t="array" ref="AW485">MMULT($D485:$G485,AW$459:AW$462)</f>
        <v>4.8186047093794405E-2</v>
      </c>
      <c r="AX485" s="25" cm="1">
        <f t="array" ref="AX485">MMULT($D485:$G485,AX$459:AX$462)</f>
        <v>-0.13462098343978715</v>
      </c>
      <c r="AY485" s="25" cm="1">
        <f t="array" ref="AY485">MMULT($D485:$G485,AY$459:AY$462)</f>
        <v>-6.2503430367343418E-2</v>
      </c>
      <c r="AZ485" s="25" cm="1">
        <f t="array" ref="AZ485">MMULT($D485:$G485,AZ$459:AZ$462)</f>
        <v>-8.1749243130212937E-2</v>
      </c>
      <c r="BA485" s="25" cm="1">
        <f t="array" ref="BA485">MMULT($D485:$G485,BA$459:BA$462)</f>
        <v>-0.18155957414451207</v>
      </c>
      <c r="BB485" s="25" cm="1">
        <f t="array" ref="BB485">MMULT($D485:$G485,BB$459:BB$462)</f>
        <v>3.0732061026595189E-2</v>
      </c>
      <c r="BC485" s="25" cm="1">
        <f t="array" ref="BC485">MMULT($D485:$G485,BC$459:BC$462)</f>
        <v>-0.19381435030230312</v>
      </c>
      <c r="BD485" s="25" cm="1">
        <f t="array" ref="BD485">MMULT($D485:$G485,BD$459:BD$462)</f>
        <v>-5.3542804432056272E-2</v>
      </c>
      <c r="BE485" s="25" cm="1">
        <f t="array" ref="BE485">MMULT($D485:$G485,BE$459:BE$462)</f>
        <v>-0.12883484084335256</v>
      </c>
    </row>
    <row r="486" spans="3:57" ht="15" thickBot="1" x14ac:dyDescent="0.35">
      <c r="D486" s="30">
        <v>-5.4409430968034522E-2</v>
      </c>
      <c r="E486" s="30">
        <v>4.9690946551932402E-3</v>
      </c>
      <c r="F486" s="30">
        <v>9.4465757587267829E-2</v>
      </c>
      <c r="G486" s="30">
        <v>-1.1594202898550732E-2</v>
      </c>
      <c r="H486" s="22" cm="1">
        <f t="array" ref="H486">MMULT($D486:$G486,H$459:H$462)</f>
        <v>8.3578045939689538E-3</v>
      </c>
      <c r="I486" s="22" cm="1">
        <f t="array" ref="I486">MMULT($D486:$G486,I$459:I$462)</f>
        <v>1.5166182541292868E-2</v>
      </c>
      <c r="J486" s="22" cm="1">
        <f t="array" ref="J486">MMULT($D486:$G486,J$459:J$462)</f>
        <v>1.6216662044062941E-2</v>
      </c>
      <c r="K486" s="22" cm="1">
        <f t="array" ref="K486">MMULT($D486:$G486,K$459:K$462)</f>
        <v>2.1139102531154093E-2</v>
      </c>
      <c r="L486" s="22" cm="1">
        <f t="array" ref="L486">MMULT($D486:$G486,L$459:L$462)</f>
        <v>-2.022663352969483E-2</v>
      </c>
      <c r="M486" s="22" cm="1">
        <f t="array" ref="M486">MMULT($D486:$G486,M$459:M$462)</f>
        <v>-2.963676366764547E-2</v>
      </c>
      <c r="N486" s="22" cm="1">
        <f t="array" ref="N486">MMULT($D486:$G486,N$459:N$462)</f>
        <v>-8.6633882588321581E-3</v>
      </c>
      <c r="O486" s="22" cm="1">
        <f t="array" ref="O486">MMULT($D486:$G486,O$459:O$462)</f>
        <v>4.9252856663660471E-2</v>
      </c>
      <c r="P486" s="22" cm="1">
        <f t="array" ref="P486">MMULT($D486:$G486,P$459:P$462)</f>
        <v>1.7161107002056749E-2</v>
      </c>
      <c r="Q486" s="22" cm="1">
        <f t="array" ref="Q486">MMULT($D486:$G486,Q$459:Q$462)</f>
        <v>2.363802421230805E-2</v>
      </c>
      <c r="R486" s="22" cm="1">
        <f t="array" ref="R486">MMULT($D486:$G486,R$459:R$462)</f>
        <v>-2.0565828526675538E-2</v>
      </c>
      <c r="S486" s="22" cm="1">
        <f t="array" ref="S486">MMULT($D486:$G486,S$459:S$462)</f>
        <v>-3.4224388374146097E-4</v>
      </c>
      <c r="T486" s="22" cm="1">
        <f t="array" ref="T486">MMULT($D486:$G486,T$459:T$462)</f>
        <v>7.646696138833506E-3</v>
      </c>
      <c r="U486" s="22" cm="1">
        <f t="array" ref="U486">MMULT($D486:$G486,U$459:U$462)</f>
        <v>-2.0770525732566679E-2</v>
      </c>
      <c r="V486" s="22" cm="1">
        <f t="array" ref="V486">MMULT($D486:$G486,V$459:V$462)</f>
        <v>4.3679367134743423E-3</v>
      </c>
      <c r="W486" s="22" cm="1">
        <f t="array" ref="W486">MMULT($D486:$G486,W$459:W$462)</f>
        <v>1.8812372061561382E-2</v>
      </c>
      <c r="X486" s="22" cm="1">
        <f t="array" ref="X486">MMULT($D486:$G486,X$459:X$462)</f>
        <v>5.071091764483325E-2</v>
      </c>
      <c r="Y486" s="22" cm="1">
        <f t="array" ref="Y486">MMULT($D486:$G486,Y$459:Y$462)</f>
        <v>1.9208383530219517E-2</v>
      </c>
      <c r="Z486" s="22" cm="1">
        <f t="array" ref="Z486">MMULT($D486:$G486,Z$459:Z$462)</f>
        <v>-1.5803830730264055E-2</v>
      </c>
      <c r="AA486" s="22" cm="1">
        <f t="array" ref="AA486">MMULT($D486:$G486,AA$459:AA$462)</f>
        <v>-1.4749230530655334E-2</v>
      </c>
      <c r="AB486" s="22" cm="1">
        <f t="array" ref="AB486">MMULT($D486:$G486,AB$459:AB$462)</f>
        <v>7.156066923849267E-3</v>
      </c>
      <c r="AC486" s="22" cm="1">
        <f t="array" ref="AC486">MMULT($D486:$G486,AC$459:AC$462)</f>
        <v>3.2492995233263933E-2</v>
      </c>
      <c r="AD486" s="22" cm="1">
        <f t="array" ref="AD486">MMULT($D486:$G486,AD$459:AD$462)</f>
        <v>-1.8139648570870779E-2</v>
      </c>
      <c r="AE486" s="22" cm="1">
        <f t="array" ref="AE486">MMULT($D486:$G486,AE$459:AE$462)</f>
        <v>-1.0628796942247082E-2</v>
      </c>
      <c r="AF486" s="22" cm="1">
        <f t="array" ref="AF486">MMULT($D486:$G486,AF$459:AF$462)</f>
        <v>4.857086167465844E-2</v>
      </c>
      <c r="AG486" s="22" cm="1">
        <f t="array" ref="AG486">MMULT($D486:$G486,AG$459:AG$462)</f>
        <v>-3.0965257342788283E-2</v>
      </c>
      <c r="AH486" s="22" cm="1">
        <f t="array" ref="AH486">MMULT($D486:$G486,AH$459:AH$462)</f>
        <v>-9.3058531668863704E-3</v>
      </c>
      <c r="AI486" s="22" cm="1">
        <f t="array" ref="AI486">MMULT($D486:$G486,AI$459:AI$462)</f>
        <v>-3.1968175165389183E-2</v>
      </c>
      <c r="AJ486" s="22" cm="1">
        <f t="array" ref="AJ486">MMULT($D486:$G486,AJ$459:AJ$462)</f>
        <v>1.9583615358521475E-2</v>
      </c>
      <c r="AK486" s="22" cm="1">
        <f t="array" ref="AK486">MMULT($D486:$G486,AK$459:AK$462)</f>
        <v>-1.7822614774958691E-2</v>
      </c>
      <c r="AL486" s="22" cm="1">
        <f t="array" ref="AL486">MMULT($D486:$G486,AL$459:AL$462)</f>
        <v>-2.9192116725162295E-2</v>
      </c>
      <c r="AM486" s="22" cm="1">
        <f t="array" ref="AM486">MMULT($D486:$G486,AM$459:AM$462)</f>
        <v>2.5667394023063943E-2</v>
      </c>
      <c r="AN486" s="22" cm="1">
        <f t="array" ref="AN486">MMULT($D486:$G486,AN$459:AN$462)</f>
        <v>1.0655021796805522E-2</v>
      </c>
      <c r="AO486" s="22" cm="1">
        <f t="array" ref="AO486">MMULT($D486:$G486,AO$459:AO$462)</f>
        <v>-5.6021777044911762E-3</v>
      </c>
      <c r="AP486" s="22" cm="1">
        <f t="array" ref="AP486">MMULT($D486:$G486,AP$459:AP$462)</f>
        <v>4.7469408336229327E-2</v>
      </c>
      <c r="AQ486" s="22" cm="1">
        <f t="array" ref="AQ486">MMULT($D486:$G486,AQ$459:AQ$462)</f>
        <v>1.2629190608397029E-2</v>
      </c>
      <c r="AR486" s="22" cm="1">
        <f t="array" ref="AR486">MMULT($D486:$G486,AR$459:AR$462)</f>
        <v>4.654004617027542E-2</v>
      </c>
      <c r="AS486" s="22" cm="1">
        <f t="array" ref="AS486">MMULT($D486:$G486,AS$459:AS$462)</f>
        <v>-2.5779416126367673E-2</v>
      </c>
      <c r="AT486" s="22" cm="1">
        <f t="array" ref="AT486">MMULT($D486:$G486,AT$459:AT$462)</f>
        <v>2.3017808717697902E-2</v>
      </c>
      <c r="AU486" s="22" cm="1">
        <f t="array" ref="AU486">MMULT($D486:$G486,AU$459:AU$462)</f>
        <v>-2.8127973032218557E-3</v>
      </c>
      <c r="AV486" s="22" cm="1">
        <f t="array" ref="AV486">MMULT($D486:$G486,AV$459:AV$462)</f>
        <v>-1.2459539664292515E-2</v>
      </c>
      <c r="AW486" s="22" cm="1">
        <f t="array" ref="AW486">MMULT($D486:$G486,AW$459:AW$462)</f>
        <v>2.4931712848096154E-2</v>
      </c>
      <c r="AX486" s="22" cm="1">
        <f t="array" ref="AX486">MMULT($D486:$G486,AX$459:AX$462)</f>
        <v>-6.7234551109051858E-3</v>
      </c>
      <c r="AY486" s="22" cm="1">
        <f t="array" ref="AY486">MMULT($D486:$G486,AY$459:AY$462)</f>
        <v>-2.8488828735842857E-3</v>
      </c>
      <c r="AZ486" s="22" cm="1">
        <f t="array" ref="AZ486">MMULT($D486:$G486,AZ$459:AZ$462)</f>
        <v>-2.0077948686831208E-2</v>
      </c>
      <c r="BA486" s="22" cm="1">
        <f t="array" ref="BA486">MMULT($D486:$G486,BA$459:BA$462)</f>
        <v>-3.1948771447536115E-3</v>
      </c>
      <c r="BB486" s="22" cm="1">
        <f t="array" ref="BB486">MMULT($D486:$G486,BB$459:BB$462)</f>
        <v>4.024302037727525E-2</v>
      </c>
      <c r="BC486" s="22" cm="1">
        <f t="array" ref="BC486">MMULT($D486:$G486,BC$459:BC$462)</f>
        <v>-5.7860681192209336E-3</v>
      </c>
      <c r="BD486" s="22" cm="1">
        <f t="array" ref="BD486">MMULT($D486:$G486,BD$459:BD$462)</f>
        <v>6.1460590019063094E-2</v>
      </c>
      <c r="BE486" s="22" cm="1">
        <f t="array" ref="BE486">MMULT($D486:$G486,BE$459:BE$462)</f>
        <v>1.4377587070858084E-2</v>
      </c>
    </row>
    <row r="487" spans="3:57" x14ac:dyDescent="0.3">
      <c r="C487" s="5" t="s">
        <v>70</v>
      </c>
      <c r="D487" s="12">
        <f t="shared" ref="D487:AI487" si="21">AVERAGE(D463:D486)</f>
        <v>1.2387728138687442E-2</v>
      </c>
      <c r="E487" s="12">
        <f t="shared" si="21"/>
        <v>3.8702044722505186E-3</v>
      </c>
      <c r="F487" s="12">
        <f t="shared" si="21"/>
        <v>1.9699692369646856E-2</v>
      </c>
      <c r="G487" s="18">
        <f t="shared" si="21"/>
        <v>-1.9223404399635352E-2</v>
      </c>
      <c r="H487" s="23">
        <f t="shared" si="21"/>
        <v>4.1835551452373658E-3</v>
      </c>
      <c r="I487" s="12">
        <f t="shared" si="21"/>
        <v>2.5417379154729007E-3</v>
      </c>
      <c r="J487" s="12">
        <f t="shared" si="21"/>
        <v>6.3364274320270456E-3</v>
      </c>
      <c r="K487" s="12">
        <f t="shared" si="21"/>
        <v>3.7522019552734577E-3</v>
      </c>
      <c r="L487" s="12">
        <f t="shared" si="21"/>
        <v>6.7574860907217782E-3</v>
      </c>
      <c r="M487" s="12">
        <f t="shared" si="21"/>
        <v>1.9050844858613273E-3</v>
      </c>
      <c r="N487" s="12">
        <f t="shared" si="21"/>
        <v>-7.4799269689797797E-4</v>
      </c>
      <c r="O487" s="12">
        <f t="shared" si="21"/>
        <v>7.9901872465642614E-3</v>
      </c>
      <c r="P487" s="12">
        <f t="shared" si="21"/>
        <v>1.2857466147435303E-2</v>
      </c>
      <c r="Q487" s="12">
        <f t="shared" si="21"/>
        <v>8.484908912806368E-3</v>
      </c>
      <c r="R487" s="12">
        <f t="shared" si="21"/>
        <v>3.8447321857096087E-3</v>
      </c>
      <c r="S487" s="12">
        <f t="shared" si="21"/>
        <v>-6.9816891558897066E-3</v>
      </c>
      <c r="T487" s="12">
        <f t="shared" si="21"/>
        <v>7.3535949678538012E-3</v>
      </c>
      <c r="U487" s="12">
        <f t="shared" si="21"/>
        <v>1.0559673717086125E-2</v>
      </c>
      <c r="V487" s="12">
        <f t="shared" si="21"/>
        <v>-2.971805611514115E-4</v>
      </c>
      <c r="W487" s="12">
        <f t="shared" si="21"/>
        <v>1.0470052478749284E-2</v>
      </c>
      <c r="X487" s="12">
        <f t="shared" si="21"/>
        <v>1.3202911976516339E-2</v>
      </c>
      <c r="Y487" s="12">
        <f t="shared" si="21"/>
        <v>3.6854427138692035E-3</v>
      </c>
      <c r="Z487" s="12">
        <f t="shared" si="21"/>
        <v>7.6320142466893377E-3</v>
      </c>
      <c r="AA487" s="12">
        <f t="shared" si="21"/>
        <v>-5.4657078038146019E-3</v>
      </c>
      <c r="AB487" s="12">
        <f t="shared" si="21"/>
        <v>-3.890943882163407E-3</v>
      </c>
      <c r="AC487" s="12">
        <f t="shared" si="21"/>
        <v>4.7549915806695481E-3</v>
      </c>
      <c r="AD487" s="12">
        <f t="shared" si="21"/>
        <v>-7.752603614064755E-3</v>
      </c>
      <c r="AE487" s="12">
        <f t="shared" si="21"/>
        <v>2.7493531486758333E-3</v>
      </c>
      <c r="AF487" s="12">
        <f t="shared" si="21"/>
        <v>8.106602787035842E-3</v>
      </c>
      <c r="AG487" s="12">
        <f t="shared" si="21"/>
        <v>4.6110150555271319E-3</v>
      </c>
      <c r="AH487" s="12">
        <f t="shared" si="21"/>
        <v>1.0530752495194973E-2</v>
      </c>
      <c r="AI487" s="12">
        <f t="shared" si="21"/>
        <v>8.5432714310894643E-3</v>
      </c>
      <c r="AJ487" s="12">
        <f t="shared" ref="AJ487:BE487" si="22">AVERAGE(AJ463:AJ486)</f>
        <v>4.8953736215434874E-3</v>
      </c>
      <c r="AK487" s="12">
        <f t="shared" si="22"/>
        <v>6.4333232285951674E-3</v>
      </c>
      <c r="AL487" s="12">
        <f t="shared" si="22"/>
        <v>1.0229161972924615E-2</v>
      </c>
      <c r="AM487" s="12">
        <f t="shared" si="22"/>
        <v>4.8415860656100948E-3</v>
      </c>
      <c r="AN487" s="12">
        <f t="shared" si="22"/>
        <v>-1.0816190773274895E-3</v>
      </c>
      <c r="AO487" s="12">
        <f t="shared" si="22"/>
        <v>-5.1230935593518613E-3</v>
      </c>
      <c r="AP487" s="12">
        <f t="shared" si="22"/>
        <v>1.3682933936496529E-2</v>
      </c>
      <c r="AQ487" s="12">
        <f t="shared" si="22"/>
        <v>2.6393876711890041E-3</v>
      </c>
      <c r="AR487" s="12">
        <f t="shared" si="22"/>
        <v>1.5512829888988333E-2</v>
      </c>
      <c r="AS487" s="12">
        <f t="shared" si="22"/>
        <v>-1.2592580280662456E-3</v>
      </c>
      <c r="AT487" s="12">
        <f t="shared" si="22"/>
        <v>4.5655941693891502E-4</v>
      </c>
      <c r="AU487" s="12">
        <f t="shared" si="22"/>
        <v>-1.1933840723581601E-3</v>
      </c>
      <c r="AV487" s="12">
        <f t="shared" si="22"/>
        <v>-1.3890459561083999E-3</v>
      </c>
      <c r="AW487" s="12">
        <f t="shared" si="22"/>
        <v>7.0971895043329923E-3</v>
      </c>
      <c r="AX487" s="12">
        <f t="shared" si="22"/>
        <v>-7.0573302020066819E-3</v>
      </c>
      <c r="AY487" s="12">
        <f t="shared" si="22"/>
        <v>-1.5827299228283194E-3</v>
      </c>
      <c r="AZ487" s="12">
        <f t="shared" si="22"/>
        <v>5.5960039370022722E-3</v>
      </c>
      <c r="BA487" s="12">
        <f t="shared" si="22"/>
        <v>-3.2649304163993487E-3</v>
      </c>
      <c r="BB487" s="12">
        <f t="shared" si="22"/>
        <v>1.056578096349251E-2</v>
      </c>
      <c r="BC487" s="12">
        <f t="shared" si="22"/>
        <v>-5.6249903482550115E-3</v>
      </c>
      <c r="BD487" s="12">
        <f t="shared" si="22"/>
        <v>9.9611878478924783E-3</v>
      </c>
      <c r="BE487" s="12">
        <f t="shared" si="22"/>
        <v>-5.0482793548890196E-4</v>
      </c>
    </row>
    <row r="488" spans="3:57" x14ac:dyDescent="0.3">
      <c r="C488" s="5" t="s">
        <v>71</v>
      </c>
      <c r="D488" s="5">
        <f t="shared" ref="D488:AI488" si="23">STDEV(D463:D486)</f>
        <v>5.3001075274527555E-2</v>
      </c>
      <c r="E488" s="5">
        <f t="shared" si="23"/>
        <v>4.6866338931247864E-2</v>
      </c>
      <c r="F488" s="5">
        <f t="shared" si="23"/>
        <v>3.7482618031128942E-2</v>
      </c>
      <c r="G488" s="19">
        <f t="shared" si="23"/>
        <v>8.9230727055610956E-2</v>
      </c>
      <c r="H488" s="24">
        <f t="shared" si="23"/>
        <v>3.1444115325723096E-2</v>
      </c>
      <c r="I488" s="5">
        <f t="shared" si="23"/>
        <v>3.1181949825960668E-2</v>
      </c>
      <c r="J488" s="5">
        <f t="shared" si="23"/>
        <v>2.9838906353676344E-2</v>
      </c>
      <c r="K488" s="5">
        <f t="shared" si="23"/>
        <v>3.6918232533543288E-2</v>
      </c>
      <c r="L488" s="5">
        <f t="shared" si="23"/>
        <v>3.5174917965976146E-2</v>
      </c>
      <c r="M488" s="5">
        <f t="shared" si="23"/>
        <v>4.3852303483300131E-2</v>
      </c>
      <c r="N488" s="5">
        <f t="shared" si="23"/>
        <v>3.9316671614018479E-2</v>
      </c>
      <c r="O488" s="5">
        <f t="shared" si="23"/>
        <v>2.900030402712192E-2</v>
      </c>
      <c r="P488" s="5">
        <f t="shared" si="23"/>
        <v>2.7273054433873459E-2</v>
      </c>
      <c r="Q488" s="5">
        <f t="shared" si="23"/>
        <v>2.617691811885756E-2</v>
      </c>
      <c r="R488" s="5">
        <f t="shared" si="23"/>
        <v>3.8912900586817706E-2</v>
      </c>
      <c r="S488" s="5">
        <f t="shared" si="23"/>
        <v>5.8935676516180015E-2</v>
      </c>
      <c r="T488" s="5">
        <f t="shared" si="23"/>
        <v>2.7263060053734616E-2</v>
      </c>
      <c r="U488" s="5">
        <f t="shared" si="23"/>
        <v>3.4813979663762783E-2</v>
      </c>
      <c r="V488" s="5">
        <f t="shared" si="23"/>
        <v>3.8124633251387555E-2</v>
      </c>
      <c r="W488" s="5">
        <f t="shared" si="23"/>
        <v>2.6488725284647952E-2</v>
      </c>
      <c r="X488" s="5">
        <f t="shared" si="23"/>
        <v>2.6260995899841624E-2</v>
      </c>
      <c r="Y488" s="5">
        <f t="shared" si="23"/>
        <v>3.0426900558341755E-2</v>
      </c>
      <c r="Z488" s="5">
        <f t="shared" si="23"/>
        <v>3.7485506033209638E-2</v>
      </c>
      <c r="AA488" s="5">
        <f t="shared" si="23"/>
        <v>5.2998324251774406E-2</v>
      </c>
      <c r="AB488" s="5">
        <f t="shared" si="23"/>
        <v>4.6658631370870646E-2</v>
      </c>
      <c r="AC488" s="5">
        <f t="shared" si="23"/>
        <v>3.455097312932099E-2</v>
      </c>
      <c r="AD488" s="5">
        <f t="shared" si="23"/>
        <v>6.0498876732636563E-2</v>
      </c>
      <c r="AE488" s="5">
        <f t="shared" si="23"/>
        <v>3.8652025159178885E-2</v>
      </c>
      <c r="AF488" s="5">
        <f t="shared" si="23"/>
        <v>3.4234237013691153E-2</v>
      </c>
      <c r="AG488" s="5">
        <f t="shared" si="23"/>
        <v>4.2743049078354682E-2</v>
      </c>
      <c r="AH488" s="5">
        <f t="shared" si="23"/>
        <v>3.1308100747343512E-2</v>
      </c>
      <c r="AI488" s="5">
        <f t="shared" si="23"/>
        <v>4.0615532097231413E-2</v>
      </c>
      <c r="AJ488" s="5">
        <f t="shared" ref="AJ488:BE488" si="24">STDEV(AJ463:AJ486)</f>
        <v>2.8545233840039368E-2</v>
      </c>
      <c r="AK488" s="5">
        <f t="shared" si="24"/>
        <v>3.5795359360642036E-2</v>
      </c>
      <c r="AL488" s="5">
        <f t="shared" si="24"/>
        <v>3.9177077291440793E-2</v>
      </c>
      <c r="AM488" s="5">
        <f t="shared" si="24"/>
        <v>3.7108777149297896E-2</v>
      </c>
      <c r="AN488" s="5">
        <f t="shared" si="24"/>
        <v>4.2112224152683432E-2</v>
      </c>
      <c r="AO488" s="5">
        <f t="shared" si="24"/>
        <v>4.6907027266249464E-2</v>
      </c>
      <c r="AP488" s="5">
        <f t="shared" si="24"/>
        <v>2.5592041747221773E-2</v>
      </c>
      <c r="AQ488" s="5">
        <f t="shared" si="24"/>
        <v>4.0698841908466711E-2</v>
      </c>
      <c r="AR488" s="5">
        <f t="shared" si="24"/>
        <v>2.5985719082143297E-2</v>
      </c>
      <c r="AS488" s="5">
        <f t="shared" si="24"/>
        <v>5.0571927873757187E-2</v>
      </c>
      <c r="AT488" s="5">
        <f t="shared" si="24"/>
        <v>3.6484664061010974E-2</v>
      </c>
      <c r="AU488" s="5">
        <f t="shared" si="24"/>
        <v>3.6120707537401507E-2</v>
      </c>
      <c r="AV488" s="5">
        <f t="shared" si="24"/>
        <v>3.8581066335303796E-2</v>
      </c>
      <c r="AW488" s="5">
        <f t="shared" si="24"/>
        <v>3.4288277339436041E-2</v>
      </c>
      <c r="AX488" s="5">
        <f t="shared" si="24"/>
        <v>4.7245081212619847E-2</v>
      </c>
      <c r="AY488" s="5">
        <f t="shared" si="24"/>
        <v>3.6455724679511643E-2</v>
      </c>
      <c r="AZ488" s="5">
        <f t="shared" si="24"/>
        <v>3.8904013307096502E-2</v>
      </c>
      <c r="BA488" s="5">
        <f t="shared" si="24"/>
        <v>5.2707290401090297E-2</v>
      </c>
      <c r="BB488" s="5">
        <f t="shared" si="24"/>
        <v>2.8347059737769763E-2</v>
      </c>
      <c r="BC488" s="5">
        <f t="shared" si="24"/>
        <v>5.5663817202312726E-2</v>
      </c>
      <c r="BD488" s="5">
        <f t="shared" si="24"/>
        <v>3.2241213425283417E-2</v>
      </c>
      <c r="BE488" s="5">
        <f t="shared" si="24"/>
        <v>4.1396433957147399E-2</v>
      </c>
    </row>
    <row r="489" spans="3:57" x14ac:dyDescent="0.3">
      <c r="C489" s="14" t="s">
        <v>72</v>
      </c>
      <c r="D489" s="31">
        <f>D487*12</f>
        <v>0.1486527376642493</v>
      </c>
      <c r="E489" s="31">
        <f>E487*12</f>
        <v>4.6442453667006223E-2</v>
      </c>
      <c r="F489" s="31">
        <f>F487*12</f>
        <v>0.23639630843576226</v>
      </c>
      <c r="G489" s="32">
        <f>G487*12</f>
        <v>-0.23068085279562422</v>
      </c>
      <c r="H489" s="33">
        <f>H487*12</f>
        <v>5.020266174284839E-2</v>
      </c>
      <c r="I489" s="31">
        <f t="shared" ref="I489:BE489" si="25">I487*12</f>
        <v>3.0500854985674807E-2</v>
      </c>
      <c r="J489" s="31">
        <f t="shared" si="25"/>
        <v>7.6037129184324551E-2</v>
      </c>
      <c r="K489" s="31">
        <f t="shared" si="25"/>
        <v>4.5026423463281492E-2</v>
      </c>
      <c r="L489" s="31">
        <f t="shared" si="25"/>
        <v>8.1089833088661342E-2</v>
      </c>
      <c r="M489" s="31">
        <f t="shared" si="25"/>
        <v>2.2861013830335928E-2</v>
      </c>
      <c r="N489" s="31">
        <f t="shared" si="25"/>
        <v>-8.9759123627757356E-3</v>
      </c>
      <c r="O489" s="31">
        <f t="shared" si="25"/>
        <v>9.5882246958771136E-2</v>
      </c>
      <c r="P489" s="31">
        <f t="shared" si="25"/>
        <v>0.15428959376922363</v>
      </c>
      <c r="Q489" s="31">
        <f t="shared" si="25"/>
        <v>0.10181890695367642</v>
      </c>
      <c r="R489" s="31">
        <f t="shared" si="25"/>
        <v>4.6136786228515303E-2</v>
      </c>
      <c r="S489" s="31">
        <f t="shared" si="25"/>
        <v>-8.378026987067648E-2</v>
      </c>
      <c r="T489" s="31">
        <f t="shared" si="25"/>
        <v>8.8243139614245611E-2</v>
      </c>
      <c r="U489" s="31">
        <f t="shared" si="25"/>
        <v>0.1267160846050335</v>
      </c>
      <c r="V489" s="31">
        <f t="shared" si="25"/>
        <v>-3.5661667338169377E-3</v>
      </c>
      <c r="W489" s="31">
        <f t="shared" si="25"/>
        <v>0.12564062974499141</v>
      </c>
      <c r="X489" s="31">
        <f t="shared" si="25"/>
        <v>0.15843494371819608</v>
      </c>
      <c r="Y489" s="31">
        <f t="shared" si="25"/>
        <v>4.422531256643044E-2</v>
      </c>
      <c r="Z489" s="31">
        <f t="shared" si="25"/>
        <v>9.1584170960272049E-2</v>
      </c>
      <c r="AA489" s="31">
        <f t="shared" si="25"/>
        <v>-6.5588493645775223E-2</v>
      </c>
      <c r="AB489" s="31">
        <f t="shared" si="25"/>
        <v>-4.6691326585960882E-2</v>
      </c>
      <c r="AC489" s="31">
        <f t="shared" si="25"/>
        <v>5.7059898968034581E-2</v>
      </c>
      <c r="AD489" s="31">
        <f t="shared" si="25"/>
        <v>-9.3031243368777064E-2</v>
      </c>
      <c r="AE489" s="31">
        <f t="shared" si="25"/>
        <v>3.299223778411E-2</v>
      </c>
      <c r="AF489" s="31">
        <f t="shared" si="25"/>
        <v>9.7279233444430097E-2</v>
      </c>
      <c r="AG489" s="31">
        <f t="shared" si="25"/>
        <v>5.5332180666325587E-2</v>
      </c>
      <c r="AH489" s="31">
        <f t="shared" si="25"/>
        <v>0.12636902994233967</v>
      </c>
      <c r="AI489" s="31">
        <f t="shared" si="25"/>
        <v>0.10251925717307357</v>
      </c>
      <c r="AJ489" s="31">
        <f t="shared" si="25"/>
        <v>5.8744483458521846E-2</v>
      </c>
      <c r="AK489" s="31">
        <f t="shared" si="25"/>
        <v>7.7199878743142006E-2</v>
      </c>
      <c r="AL489" s="31">
        <f t="shared" si="25"/>
        <v>0.12274994367509537</v>
      </c>
      <c r="AM489" s="31">
        <f t="shared" si="25"/>
        <v>5.8099032787321134E-2</v>
      </c>
      <c r="AN489" s="31">
        <f t="shared" si="25"/>
        <v>-1.2979428927929873E-2</v>
      </c>
      <c r="AO489" s="31">
        <f t="shared" si="25"/>
        <v>-6.1477122712222332E-2</v>
      </c>
      <c r="AP489" s="31">
        <f t="shared" si="25"/>
        <v>0.16419520723795836</v>
      </c>
      <c r="AQ489" s="31">
        <f t="shared" si="25"/>
        <v>3.1672652054268051E-2</v>
      </c>
      <c r="AR489" s="31">
        <f t="shared" si="25"/>
        <v>0.18615395866786</v>
      </c>
      <c r="AS489" s="31">
        <f t="shared" si="25"/>
        <v>-1.5111096336794947E-2</v>
      </c>
      <c r="AT489" s="31">
        <f t="shared" si="25"/>
        <v>5.4787130032669801E-3</v>
      </c>
      <c r="AU489" s="31">
        <f t="shared" si="25"/>
        <v>-1.4320608868297922E-2</v>
      </c>
      <c r="AV489" s="31">
        <f t="shared" si="25"/>
        <v>-1.6668551473300798E-2</v>
      </c>
      <c r="AW489" s="31">
        <f t="shared" si="25"/>
        <v>8.5166274051995908E-2</v>
      </c>
      <c r="AX489" s="31">
        <f t="shared" si="25"/>
        <v>-8.4687962424080179E-2</v>
      </c>
      <c r="AY489" s="31">
        <f t="shared" si="25"/>
        <v>-1.8992759073939831E-2</v>
      </c>
      <c r="AZ489" s="31">
        <f t="shared" si="25"/>
        <v>6.7152047244027263E-2</v>
      </c>
      <c r="BA489" s="31">
        <f t="shared" si="25"/>
        <v>-3.9179164996792186E-2</v>
      </c>
      <c r="BB489" s="31">
        <f t="shared" si="25"/>
        <v>0.12678937156191011</v>
      </c>
      <c r="BC489" s="31">
        <f t="shared" si="25"/>
        <v>-6.7499884179060138E-2</v>
      </c>
      <c r="BD489" s="31">
        <f t="shared" si="25"/>
        <v>0.11953425417470974</v>
      </c>
      <c r="BE489" s="31">
        <f t="shared" si="25"/>
        <v>-6.0579352258668239E-3</v>
      </c>
    </row>
    <row r="490" spans="3:57" x14ac:dyDescent="0.3">
      <c r="C490" s="15" t="s">
        <v>73</v>
      </c>
      <c r="D490" s="34">
        <f>D488*SQRT(12)</f>
        <v>0.18360111046252861</v>
      </c>
      <c r="E490" s="34">
        <f>E488*SQRT(12)</f>
        <v>0.16234976038732915</v>
      </c>
      <c r="F490" s="34">
        <f>F488*SQRT(12)</f>
        <v>0.12984359766122527</v>
      </c>
      <c r="G490" s="35">
        <f>G488*SQRT(12)</f>
        <v>0.30910430571325803</v>
      </c>
      <c r="H490" s="36">
        <f>H488*SQRT(12)</f>
        <v>0.10892561068641519</v>
      </c>
      <c r="I490" s="34">
        <f t="shared" ref="I490:BE490" si="26">I488*SQRT(12)</f>
        <v>0.10801744275525477</v>
      </c>
      <c r="J490" s="34">
        <f t="shared" si="26"/>
        <v>0.10336500369371442</v>
      </c>
      <c r="K490" s="34">
        <f t="shared" si="26"/>
        <v>0.1278885089474785</v>
      </c>
      <c r="L490" s="34">
        <f t="shared" si="26"/>
        <v>0.12184949013827598</v>
      </c>
      <c r="M490" s="34">
        <f t="shared" si="26"/>
        <v>0.15190883532401095</v>
      </c>
      <c r="N490" s="34">
        <f t="shared" si="26"/>
        <v>0.13619694563996212</v>
      </c>
      <c r="O490" s="34">
        <f t="shared" si="26"/>
        <v>0.10046000001983897</v>
      </c>
      <c r="P490" s="34">
        <f t="shared" si="26"/>
        <v>9.4476631914120951E-2</v>
      </c>
      <c r="Q490" s="34">
        <f t="shared" si="26"/>
        <v>9.0679504334863215E-2</v>
      </c>
      <c r="R490" s="34">
        <f t="shared" si="26"/>
        <v>0.13479824177249008</v>
      </c>
      <c r="S490" s="34">
        <f t="shared" si="26"/>
        <v>0.20415917220893542</v>
      </c>
      <c r="T490" s="34">
        <f t="shared" si="26"/>
        <v>9.4442010365739681E-2</v>
      </c>
      <c r="U490" s="34">
        <f t="shared" si="26"/>
        <v>0.12059916318261359</v>
      </c>
      <c r="V490" s="34">
        <f t="shared" si="26"/>
        <v>0.13206760362266617</v>
      </c>
      <c r="W490" s="34">
        <f t="shared" si="26"/>
        <v>9.1759636041489248E-2</v>
      </c>
      <c r="X490" s="34">
        <f t="shared" si="26"/>
        <v>9.0970758311767319E-2</v>
      </c>
      <c r="Y490" s="34">
        <f t="shared" si="26"/>
        <v>0.10540187536778751</v>
      </c>
      <c r="Z490" s="34">
        <f t="shared" si="26"/>
        <v>0.12985360199389753</v>
      </c>
      <c r="AA490" s="34">
        <f t="shared" si="26"/>
        <v>0.18359158064016615</v>
      </c>
      <c r="AB490" s="34">
        <f t="shared" si="26"/>
        <v>0.16163024029195011</v>
      </c>
      <c r="AC490" s="34">
        <f t="shared" si="26"/>
        <v>0.119688081821862</v>
      </c>
      <c r="AD490" s="34">
        <f t="shared" si="26"/>
        <v>0.20957425660354623</v>
      </c>
      <c r="AE490" s="34">
        <f t="shared" si="26"/>
        <v>0.13389454278225668</v>
      </c>
      <c r="AF490" s="34">
        <f t="shared" si="26"/>
        <v>0.11859087573213621</v>
      </c>
      <c r="AG490" s="34">
        <f t="shared" si="26"/>
        <v>0.14806626534824077</v>
      </c>
      <c r="AH490" s="34">
        <f t="shared" si="26"/>
        <v>0.10845444236576819</v>
      </c>
      <c r="AI490" s="34">
        <f t="shared" si="26"/>
        <v>0.14069633033769866</v>
      </c>
      <c r="AJ490" s="34">
        <f t="shared" si="26"/>
        <v>9.8883590649765263E-2</v>
      </c>
      <c r="AK490" s="34">
        <f t="shared" si="26"/>
        <v>0.12399876217563641</v>
      </c>
      <c r="AL490" s="34">
        <f t="shared" si="26"/>
        <v>0.1357133767216567</v>
      </c>
      <c r="AM490" s="34">
        <f t="shared" si="26"/>
        <v>0.12854857485866983</v>
      </c>
      <c r="AN490" s="34">
        <f t="shared" si="26"/>
        <v>0.14588102370435382</v>
      </c>
      <c r="AO490" s="34">
        <f t="shared" si="26"/>
        <v>0.16249070891432546</v>
      </c>
      <c r="AP490" s="34">
        <f t="shared" si="26"/>
        <v>8.8653433151223787E-2</v>
      </c>
      <c r="AQ490" s="34">
        <f t="shared" si="26"/>
        <v>0.14098492398935566</v>
      </c>
      <c r="AR490" s="34">
        <f t="shared" si="26"/>
        <v>9.0017171442968558E-2</v>
      </c>
      <c r="AS490" s="34">
        <f t="shared" si="26"/>
        <v>0.17518629702811228</v>
      </c>
      <c r="AT490" s="34">
        <f t="shared" si="26"/>
        <v>0.12638658370150649</v>
      </c>
      <c r="AU490" s="34">
        <f t="shared" si="26"/>
        <v>0.12512580132023102</v>
      </c>
      <c r="AV490" s="34">
        <f t="shared" si="26"/>
        <v>0.13364873420586273</v>
      </c>
      <c r="AW490" s="34">
        <f t="shared" si="26"/>
        <v>0.11877807691183165</v>
      </c>
      <c r="AX490" s="34">
        <f t="shared" si="26"/>
        <v>0.16366176213595079</v>
      </c>
      <c r="AY490" s="34">
        <f t="shared" si="26"/>
        <v>0.12628633474331358</v>
      </c>
      <c r="AZ490" s="34">
        <f t="shared" si="26"/>
        <v>0.13476745533245368</v>
      </c>
      <c r="BA490" s="34">
        <f t="shared" si="26"/>
        <v>0.18258340980795157</v>
      </c>
      <c r="BB490" s="34">
        <f t="shared" si="26"/>
        <v>9.8197095422014644E-2</v>
      </c>
      <c r="BC490" s="34">
        <f t="shared" si="26"/>
        <v>0.19282511907526423</v>
      </c>
      <c r="BD490" s="34">
        <f t="shared" si="26"/>
        <v>0.11168683950052534</v>
      </c>
      <c r="BE490" s="34">
        <f t="shared" si="26"/>
        <v>0.14340145373189769</v>
      </c>
    </row>
  </sheetData>
  <phoneticPr fontId="5"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3d570ef-b748-4ff1-9c0f-3fa9e29c72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61AC7BC4ADD6448D89342A45026ACE" ma:contentTypeVersion="14" ma:contentTypeDescription="Create a new document." ma:contentTypeScope="" ma:versionID="1bdbb443a7a09d0a288e8e84f8d848f0">
  <xsd:schema xmlns:xsd="http://www.w3.org/2001/XMLSchema" xmlns:xs="http://www.w3.org/2001/XMLSchema" xmlns:p="http://schemas.microsoft.com/office/2006/metadata/properties" xmlns:ns3="c3d570ef-b748-4ff1-9c0f-3fa9e29c72db" xmlns:ns4="15af4f1e-c91f-41ee-b1b8-832f2b6debbf" targetNamespace="http://schemas.microsoft.com/office/2006/metadata/properties" ma:root="true" ma:fieldsID="3c51eab0b856dd86a3793bee6b77ed28" ns3:_="" ns4:_="">
    <xsd:import namespace="c3d570ef-b748-4ff1-9c0f-3fa9e29c72db"/>
    <xsd:import namespace="15af4f1e-c91f-41ee-b1b8-832f2b6debb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d570ef-b748-4ff1-9c0f-3fa9e29c72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af4f1e-c91f-41ee-b1b8-832f2b6debb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7869AA-622F-47A0-80C8-C28A117808C3}">
  <ds:schemaRefs>
    <ds:schemaRef ds:uri="http://www.w3.org/XML/1998/namespace"/>
    <ds:schemaRef ds:uri="http://purl.org/dc/elements/1.1/"/>
    <ds:schemaRef ds:uri="c3d570ef-b748-4ff1-9c0f-3fa9e29c72db"/>
    <ds:schemaRef ds:uri="15af4f1e-c91f-41ee-b1b8-832f2b6debbf"/>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37989850-28E9-4BC2-AE22-01EEC32CADB6}">
  <ds:schemaRefs>
    <ds:schemaRef ds:uri="http://schemas.microsoft.com/sharepoint/v3/contenttype/forms"/>
  </ds:schemaRefs>
</ds:datastoreItem>
</file>

<file path=customXml/itemProps3.xml><?xml version="1.0" encoding="utf-8"?>
<ds:datastoreItem xmlns:ds="http://schemas.openxmlformats.org/officeDocument/2006/customXml" ds:itemID="{73B6BC0B-874C-4635-A70C-31B2058152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d570ef-b748-4ff1-9c0f-3fa9e29c72db"/>
    <ds:schemaRef ds:uri="15af4f1e-c91f-41ee-b1b8-832f2b6deb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Malik</dc:creator>
  <cp:lastModifiedBy>Taha Malik</cp:lastModifiedBy>
  <cp:lastPrinted>2025-08-09T03:09:21Z</cp:lastPrinted>
  <dcterms:created xsi:type="dcterms:W3CDTF">2025-04-02T03:09:03Z</dcterms:created>
  <dcterms:modified xsi:type="dcterms:W3CDTF">2025-08-09T03:21:11Z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0x010100B861AC7BC4ADD6448D89342A45026ACE</vt:lpwstr>
  </property>
</Properties>
</file>